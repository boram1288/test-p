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boram1288\orange\architect\test-p\ppt\"/>
    </mc:Choice>
  </mc:AlternateContent>
  <xr:revisionPtr revIDLastSave="0" documentId="13_ncr:1_{3D5D4154-160C-4391-BBD7-0E2EF842A601}" xr6:coauthVersionLast="47" xr6:coauthVersionMax="47" xr10:uidLastSave="{00000000-0000-0000-0000-000000000000}"/>
  <bookViews>
    <workbookView xWindow="-120" yWindow="-120" windowWidth="29040" windowHeight="15720" tabRatio="915" activeTab="7" xr2:uid="{566D5FF2-664D-49E6-8694-5714426ADE65}"/>
  </bookViews>
  <sheets>
    <sheet name="침해 사고" sheetId="9" r:id="rId1"/>
    <sheet name="StakeHolder" sheetId="3" r:id="rId2"/>
    <sheet name="VOS" sheetId="1" r:id="rId3"/>
    <sheet name="UC (정제)" sheetId="2" r:id="rId4"/>
    <sheet name="FR" sheetId="4" r:id="rId5"/>
    <sheet name="CONST" sheetId="5" r:id="rId6"/>
    <sheet name="QA" sheetId="6" r:id="rId7"/>
    <sheet name="Sheet1" sheetId="16" r:id="rId8"/>
    <sheet name="ISO 25010" sheetId="14" r:id="rId9"/>
    <sheet name="ISO 25023" sheetId="15" r:id="rId10"/>
    <sheet name="Matrix" sheetId="8" r:id="rId11"/>
    <sheet name="pKVM interfacer" sheetId="10" r:id="rId12"/>
    <sheet name="ContextView" sheetId="12" r:id="rId13"/>
    <sheet name="DP" sheetId="13" r:id="rId14"/>
  </sheets>
  <definedNames>
    <definedName name="_xlnm._FilterDatabase" localSheetId="9" hidden="1">'ISO 25023'!$A$2:$J$96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6" l="1"/>
  <c r="F5" i="16"/>
  <c r="F6" i="16"/>
  <c r="F3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boram1288</author>
  </authors>
  <commentList>
    <comment ref="C2" authorId="0" shapeId="0" xr:uid="{1A4EB176-0ADA-4A1D-AF39-9BF5EA40BFA0}">
      <text>
        <r>
          <rPr>
            <b/>
            <sz val="12"/>
            <color indexed="81"/>
            <rFont val="Tahoma"/>
            <family val="2"/>
          </rPr>
          <t>boram1288:</t>
        </r>
        <r>
          <rPr>
            <sz val="12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모든</t>
        </r>
        <r>
          <rPr>
            <sz val="12"/>
            <color indexed="81"/>
            <rFont val="Tahoma"/>
            <family val="2"/>
          </rPr>
          <t xml:space="preserve"> Generic(G) </t>
        </r>
        <r>
          <rPr>
            <sz val="12"/>
            <color indexed="81"/>
            <rFont val="돋움"/>
            <family val="3"/>
            <charset val="129"/>
          </rPr>
          <t>지표는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반드시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 xml:space="preserve">사용
</t>
        </r>
        <r>
          <rPr>
            <sz val="12"/>
            <color indexed="81"/>
            <rFont val="Tahoma"/>
            <family val="2"/>
          </rPr>
          <t xml:space="preserve">Specific(S) </t>
        </r>
        <r>
          <rPr>
            <sz val="12"/>
            <color indexed="81"/>
            <rFont val="돋움"/>
            <family val="3"/>
            <charset val="129"/>
          </rPr>
          <t>지표는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관련성이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선택적으로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사용
지표를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수정하면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근거를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제시하고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추가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지표는</t>
        </r>
        <r>
          <rPr>
            <sz val="12"/>
            <color indexed="81"/>
            <rFont val="Tahoma"/>
            <family val="2"/>
          </rPr>
          <t xml:space="preserve"> ISO/IEC 25021</t>
        </r>
        <r>
          <rPr>
            <sz val="12"/>
            <color indexed="81"/>
            <rFont val="돋움"/>
            <family val="3"/>
            <charset val="129"/>
          </rPr>
          <t>의</t>
        </r>
        <r>
          <rPr>
            <sz val="12"/>
            <color indexed="81"/>
            <rFont val="Tahoma"/>
            <family val="2"/>
          </rPr>
          <t xml:space="preserve"> QME </t>
        </r>
        <r>
          <rPr>
            <sz val="12"/>
            <color indexed="81"/>
            <rFont val="돋움"/>
            <family val="3"/>
            <charset val="129"/>
          </rPr>
          <t>규칙에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따라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정의</t>
        </r>
      </text>
    </comment>
  </commentList>
</comments>
</file>

<file path=xl/sharedStrings.xml><?xml version="1.0" encoding="utf-8"?>
<sst xmlns="http://schemas.openxmlformats.org/spreadsheetml/2006/main" count="820" uniqueCount="605">
  <si>
    <t>QA-01</t>
  </si>
  <si>
    <t>QA-02</t>
  </si>
  <si>
    <t>QA-03</t>
  </si>
  <si>
    <t>QA-04</t>
  </si>
  <si>
    <t>ID</t>
  </si>
  <si>
    <t>요구사항</t>
  </si>
  <si>
    <t>설명</t>
  </si>
  <si>
    <t>FR-01</t>
  </si>
  <si>
    <t>UC-01</t>
  </si>
  <si>
    <t>FR-02</t>
  </si>
  <si>
    <t>다중 pVM 동시 운용</t>
  </si>
  <si>
    <t>VOS-07</t>
  </si>
  <si>
    <t>UC-02</t>
  </si>
  <si>
    <t>FR-03</t>
  </si>
  <si>
    <t>Camera/AI HW 공유 사용</t>
  </si>
  <si>
    <t>FR-04</t>
  </si>
  <si>
    <t>FR-05</t>
  </si>
  <si>
    <t>VOS-05</t>
  </si>
  <si>
    <t>FR-06</t>
  </si>
  <si>
    <t>Secure OS ENC/DEC 명령 전송</t>
  </si>
  <si>
    <t>UC-06</t>
  </si>
  <si>
    <t>VOS-16</t>
  </si>
  <si>
    <t>Stakeholder</t>
  </si>
  <si>
    <t>VOS-01</t>
  </si>
  <si>
    <t>로봇 제조사</t>
  </si>
  <si>
    <t>VOS-02</t>
  </si>
  <si>
    <t>VOS-03</t>
  </si>
  <si>
    <t>VOS-04</t>
  </si>
  <si>
    <t>상품 기획</t>
  </si>
  <si>
    <t>VOS-06</t>
  </si>
  <si>
    <t>과제 PM</t>
  </si>
  <si>
    <t>내부 Security 개발자</t>
  </si>
  <si>
    <t>VOS-08</t>
  </si>
  <si>
    <t>SOC 설계 부서</t>
  </si>
  <si>
    <t>VOS-09</t>
  </si>
  <si>
    <t>VOS-10</t>
  </si>
  <si>
    <t>내부 Hypervisor 개발자</t>
  </si>
  <si>
    <t>VOS-11</t>
  </si>
  <si>
    <t>내부 Security 개발자 (SRCX, Secure OS 이식)</t>
  </si>
  <si>
    <t>VOS-12</t>
  </si>
  <si>
    <t>내부 Security 개발자 (기존 TrustZone 공존)</t>
  </si>
  <si>
    <t>VOS-13</t>
  </si>
  <si>
    <t>검증 부서</t>
  </si>
  <si>
    <t>VOS-14</t>
  </si>
  <si>
    <t>로봇 앱 개발자</t>
  </si>
  <si>
    <t>VOS-15</t>
  </si>
  <si>
    <t>구분</t>
  </si>
  <si>
    <t>역할</t>
  </si>
  <si>
    <t>내부</t>
  </si>
  <si>
    <t>사업 목표/일정 총괄, 리소스 배분</t>
  </si>
  <si>
    <t>보안 Framework(Middleware/드라이버/통신) 개발, Secure OS 이식/공존</t>
  </si>
  <si>
    <t>pKVM 커널(EL2) 제공/유지, hypercall 인터페이스 협의</t>
  </si>
  <si>
    <t>격리/성능 목표의 객관적 검증</t>
  </si>
  <si>
    <t>ISP/NPU 등 SoC HW 설계, HW 인터페이스 제공</t>
  </si>
  <si>
    <t>외부</t>
  </si>
  <si>
    <t>SoC 채택 고객, 제품 요구 정의</t>
  </si>
  <si>
    <t>Framework API로 보안 Workload 개발</t>
  </si>
  <si>
    <t>SoC 사업 전략/상품 방향 수립</t>
  </si>
  <si>
    <t>VOS</t>
  </si>
  <si>
    <t>Host 침해 시에도 영상/모델/추론 데이터가 노출되지 않아야 한다.</t>
  </si>
  <si>
    <t>Camera/AI HW 가속을 보안 기능과 일반 기능이 함께 사용해야 한다.</t>
  </si>
  <si>
    <t>Android 의존 없이 Yocto/Ubuntu 기반 Linux에서 동작해야 한다.</t>
  </si>
  <si>
    <t>보안 기능의 전력/메모리 오버헤드는 탑재 가능 수준이어야 한다.</t>
  </si>
  <si>
    <t>신규 보안 시나리오를 Framework 수정 없이 수용해야 한다.</t>
  </si>
  <si>
    <t>Secure Camera와 Secure AI 도메인은 독립적으로 동시 운용되어야 한다.</t>
  </si>
  <si>
    <t>Camera/AI HW 사용 중 DMA 격리와 잔류 데이터 소거가 필요하다.</t>
  </si>
  <si>
    <t>도메인 간 데이터 전달은 노출 없이 빠르게 이뤄져야 한다.</t>
  </si>
  <si>
    <t>Secure OS 이식 인터페이스가 안정적으로 정의되어야 한다.</t>
  </si>
  <si>
    <t>기존 TrustZone TEE 기능과 SMC 경로가 유지되어야 한다.</t>
  </si>
  <si>
    <t>Host 침해 시 격리 유지 여부를 객관적으로 검증할 수 있어야 한다.</t>
  </si>
  <si>
    <t>pVM API는 비보안 전문가도 사용할 만큼 단순해야 한다.</t>
  </si>
  <si>
    <t>개인정보/규제 대응을 위한 기술적 격리 증빙이 필요하다.</t>
  </si>
  <si>
    <t>pVM 장애가 Host와 다른 pVM에 전파되지 않아야 한다.</t>
  </si>
  <si>
    <t>UC ID</t>
  </si>
  <si>
    <t>Use Case</t>
  </si>
  <si>
    <t>pVM 생성/시작/정지/종료</t>
  </si>
  <si>
    <t>pVM의 전체 생명주기를 관리하고 자원을 할당/회수한다</t>
  </si>
  <si>
    <t>Secure Camera, Secure AI 등 복수 pVM을 독립적으로 동시에 운용한다</t>
  </si>
  <si>
    <t>도메인 간 보안 데이터 전송</t>
  </si>
  <si>
    <t>보안 Workload 동적 탑재</t>
  </si>
  <si>
    <t>pVM의 생성/시작/정지/종료와 자원 할당/회수를 관리하는 기능을 제공한다.</t>
  </si>
  <si>
    <t>Secure Camera, Secure AI 등 복수 pVM을 독립적으로 동시 운용하는 기능을 제공한다.</t>
  </si>
  <si>
    <t>제약사항</t>
  </si>
  <si>
    <t>Linux 네이티브</t>
  </si>
  <si>
    <t>Android 스택에 의존하지 않고 Linux에서 네이티브로 동작한다.</t>
  </si>
  <si>
    <r>
      <t>pVM</t>
    </r>
    <r>
      <rPr>
        <sz val="8"/>
        <color rgb="FF000000"/>
        <rFont val="맑은 고딕"/>
        <family val="2"/>
        <charset val="129"/>
      </rPr>
      <t>에서</t>
    </r>
    <r>
      <rPr>
        <sz val="8"/>
        <color rgb="FF000000"/>
        <rFont val="Segoe UI"/>
        <family val="2"/>
      </rPr>
      <t xml:space="preserve"> Secure OS</t>
    </r>
    <r>
      <rPr>
        <sz val="8"/>
        <color rgb="FF000000"/>
        <rFont val="맑은 고딕"/>
        <family val="3"/>
        <charset val="129"/>
      </rPr>
      <t>에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암호화</t>
    </r>
    <r>
      <rPr>
        <sz val="8"/>
        <color rgb="FF000000"/>
        <rFont val="Segoe UI"/>
        <family val="2"/>
      </rPr>
      <t>/</t>
    </r>
    <r>
      <rPr>
        <sz val="8"/>
        <color rgb="FF000000"/>
        <rFont val="맑은 고딕"/>
        <family val="3"/>
        <charset val="129"/>
      </rPr>
      <t>복호화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명령을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전송한다</t>
    </r>
    <phoneticPr fontId="3" type="noConversion"/>
  </si>
  <si>
    <r>
      <t xml:space="preserve">Secure OS ENC/DEC </t>
    </r>
    <r>
      <rPr>
        <sz val="8"/>
        <color rgb="FF000000"/>
        <rFont val="맑은 고딕"/>
        <family val="3"/>
        <charset val="129"/>
      </rPr>
      <t>명령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전송</t>
    </r>
    <phoneticPr fontId="3" type="noConversion"/>
  </si>
  <si>
    <t>O</t>
  </si>
  <si>
    <t>CS-01</t>
    <phoneticPr fontId="3" type="noConversion"/>
  </si>
  <si>
    <t>CS-02</t>
    <phoneticPr fontId="3" type="noConversion"/>
  </si>
  <si>
    <r>
      <t>QA-07</t>
    </r>
    <r>
      <rPr>
        <sz val="8"/>
        <color rgb="FF000000"/>
        <rFont val="맑은 고딕"/>
        <family val="3"/>
        <charset val="129"/>
      </rPr>
      <t>로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도출되었지만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중요 품질속성 아님</t>
    </r>
    <phoneticPr fontId="3" type="noConversion"/>
  </si>
  <si>
    <r>
      <t>QA-08</t>
    </r>
    <r>
      <rPr>
        <sz val="8"/>
        <color rgb="FF000000"/>
        <rFont val="맑은 고딕"/>
        <family val="3"/>
        <charset val="129"/>
      </rPr>
      <t>로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도출되었지만 중요 품질속성 아님</t>
    </r>
    <phoneticPr fontId="3" type="noConversion"/>
  </si>
  <si>
    <t>년도</t>
    <phoneticPr fontId="3" type="noConversion"/>
  </si>
  <si>
    <t>사고사례</t>
    <phoneticPr fontId="3" type="noConversion"/>
  </si>
  <si>
    <t>영향</t>
    <phoneticPr fontId="3" type="noConversion"/>
  </si>
  <si>
    <t xml:space="preserve">Verkada 보안카메라 해킹 </t>
    <phoneticPr fontId="3" type="noConversion"/>
  </si>
  <si>
    <t>295만 달러 합의금 발생</t>
    <phoneticPr fontId="3" type="noConversion"/>
  </si>
  <si>
    <t>iRobot Roomba / Scale AI 학습 이미지 유출</t>
    <phoneticPr fontId="3" type="noConversion"/>
  </si>
  <si>
    <t>iRobot은 Scale AI와 관계를 종료</t>
    <phoneticPr fontId="3" type="noConversion"/>
  </si>
  <si>
    <t>Ecovacs Deebot X2 로봇 청소기 해킹</t>
    <phoneticPr fontId="3" type="noConversion"/>
  </si>
  <si>
    <t>카메라/스피커 무단 원격 제어로 가정 내부 영상 노출</t>
    <phoneticPr fontId="3" type="noConversion"/>
  </si>
  <si>
    <t>국내 IP카메라 12만대 해킹</t>
    <phoneticPr fontId="3" type="noConversion"/>
  </si>
  <si>
    <t>가정내 영상 무단 접근 / 유출</t>
    <phoneticPr fontId="3" type="noConversion"/>
  </si>
  <si>
    <r>
      <t xml:space="preserve">GP </t>
    </r>
    <r>
      <rPr>
        <sz val="8"/>
        <color rgb="FF000000"/>
        <rFont val="맑은 고딕"/>
        <family val="2"/>
        <charset val="129"/>
      </rPr>
      <t>표준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규격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준수</t>
    </r>
    <phoneticPr fontId="3" type="noConversion"/>
  </si>
  <si>
    <r>
      <rPr>
        <sz val="8"/>
        <color rgb="FF000000"/>
        <rFont val="Segoe UI"/>
        <family val="3"/>
      </rPr>
      <t xml:space="preserve">GlobalPlatform </t>
    </r>
    <r>
      <rPr>
        <sz val="8"/>
        <color rgb="FF000000"/>
        <rFont val="맑은 고딕"/>
        <family val="3"/>
        <charset val="129"/>
      </rPr>
      <t>표준</t>
    </r>
    <r>
      <rPr>
        <sz val="8"/>
        <color rgb="FF000000"/>
        <rFont val="Segoe UI"/>
        <family val="3"/>
      </rPr>
      <t xml:space="preserve"> </t>
    </r>
    <r>
      <rPr>
        <sz val="8"/>
        <color rgb="FF000000"/>
        <rFont val="맑은 고딕"/>
        <family val="3"/>
        <charset val="129"/>
      </rPr>
      <t>규격을</t>
    </r>
    <r>
      <rPr>
        <sz val="8"/>
        <color rgb="FF000000"/>
        <rFont val="Segoe UI"/>
        <family val="3"/>
      </rPr>
      <t xml:space="preserve"> </t>
    </r>
    <r>
      <rPr>
        <sz val="8"/>
        <color rgb="FF000000"/>
        <rFont val="맑은 고딕"/>
        <family val="3"/>
        <charset val="129"/>
      </rPr>
      <t>준수해야</t>
    </r>
    <r>
      <rPr>
        <sz val="8"/>
        <color rgb="FF000000"/>
        <rFont val="Segoe UI"/>
        <family val="3"/>
      </rPr>
      <t xml:space="preserve"> </t>
    </r>
    <r>
      <rPr>
        <sz val="8"/>
        <color rgb="FF000000"/>
        <rFont val="맑은 고딕"/>
        <family val="3"/>
        <charset val="129"/>
      </rPr>
      <t>한다.</t>
    </r>
    <phoneticPr fontId="3" type="noConversion"/>
  </si>
  <si>
    <r>
      <rPr>
        <sz val="8"/>
        <color rgb="FF000000"/>
        <rFont val="Segoe UI"/>
        <family val="3"/>
      </rPr>
      <t xml:space="preserve">API </t>
    </r>
    <r>
      <rPr>
        <sz val="8"/>
        <color rgb="FF000000"/>
        <rFont val="맑은 고딕"/>
        <family val="3"/>
        <charset val="129"/>
      </rPr>
      <t>문서화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요구는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구조</t>
    </r>
    <r>
      <rPr>
        <sz val="8"/>
        <color rgb="FF000000"/>
        <rFont val="Segoe UI"/>
        <family val="3"/>
      </rPr>
      <t xml:space="preserve"> </t>
    </r>
    <r>
      <rPr>
        <sz val="8"/>
        <color rgb="FF000000"/>
        <rFont val="맑은 고딕"/>
        <family val="3"/>
        <charset val="129"/>
      </rPr>
      <t>설계에서 제외</t>
    </r>
    <phoneticPr fontId="3" type="noConversion"/>
  </si>
  <si>
    <r>
      <rPr>
        <sz val="8"/>
        <color rgb="FF000000"/>
        <rFont val="맑은 고딕"/>
        <family val="3"/>
        <charset val="129"/>
      </rPr>
      <t>일정</t>
    </r>
    <r>
      <rPr>
        <sz val="8"/>
        <color rgb="FF000000"/>
        <rFont val="Segoe UI"/>
        <family val="2"/>
      </rPr>
      <t>/</t>
    </r>
    <r>
      <rPr>
        <sz val="8"/>
        <color rgb="FF000000"/>
        <rFont val="맑은 고딕"/>
        <family val="3"/>
        <charset val="129"/>
      </rPr>
      <t>인력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관련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프로젝트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관리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사항으로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구조 설계에서 제외</t>
    </r>
    <phoneticPr fontId="3" type="noConversion"/>
  </si>
  <si>
    <t>H</t>
    <phoneticPr fontId="3" type="noConversion"/>
  </si>
  <si>
    <t>KVM_ 인터페이스 기준 pKVM 주요 기능 및 동작 비교</t>
  </si>
  <si>
    <t>KVM_ 인터페이스 (ioctl)</t>
  </si>
  <si>
    <t>일반 KVM에서의 동작</t>
  </si>
  <si>
    <t>pKVM (Protected KVM)의 핵심 기능 및 활동</t>
  </si>
  <si>
    <t>KVM_CREATE_VM</t>
  </si>
  <si>
    <t>일반적인 가상 머신(VM) 인스턴스를 생성하고 제어 구조체를 초기화함.</t>
  </si>
  <si>
    <r>
      <t>KVM_VM_TYPE_ARM_PROTECTED</t>
    </r>
    <r>
      <rPr>
        <sz val="11"/>
        <color theme="1"/>
        <rFont val="Arial"/>
        <family val="2"/>
      </rPr>
      <t xml:space="preserve"> 플래그를 확인하여, 해당 VM을 **보호 대상(pVM)**으로 지정하고 호스트 커널의 접근 권한 박탈을 준비함.</t>
    </r>
  </si>
  <si>
    <t>KVM_SET_USER_MEMORY_REGION</t>
  </si>
  <si>
    <t>게스트의 가상 메모리(IPA) 영역을 호스트의 물리 메모리(SPA)와 매핑함.</t>
  </si>
  <si>
    <t>할당된 게스트 메모리 영역을 **호스트 커널의 Stage-2 페이지 테이블에서 완전히 제거(Unmap)**하고, 소유권을 하이퍼바이저 격리 영역으로 이전(Donation)함.</t>
  </si>
  <si>
    <t>KVM_CREATE_VCPU</t>
  </si>
  <si>
    <t>가상 CPU를 생성하고 레지스터 상태를 초기화함.</t>
  </si>
  <si>
    <t>보호된 가상 CPU를 생성하며, 호스트 커널(EL1)이 게스트의 CPU 레지스터 상태를 임의로 읽거나 쓰지 못하도록 하이퍼바이저(EL2) 내부 전용 구조체에 격리함.</t>
  </si>
  <si>
    <t>KVM_RUN</t>
  </si>
  <si>
    <t>게스트 OS 코드를 실행하며, I/O 등이 발생하면 호스트로 제어권을 넘김.</t>
  </si>
  <si>
    <r>
      <t xml:space="preserve">콘텍스트 스위칭 시 호스트 레지스터를 완벽히 지우고 게스트를 실행함. </t>
    </r>
    <r>
      <rPr>
        <b/>
        <sz val="11"/>
        <color theme="1"/>
        <rFont val="Arial"/>
        <family val="2"/>
      </rPr>
      <t>민감한 트랩(Trap)은 호스트로 넘기지 않고 EL2에서 직접 처리</t>
    </r>
    <r>
      <rPr>
        <sz val="11"/>
        <color theme="1"/>
        <rFont val="Arial"/>
        <family val="2"/>
      </rPr>
      <t>하여 정보 유출을 차단함.</t>
    </r>
  </si>
  <si>
    <t>가상 인터럽트 컨트롤러 등 가상 하드웨어 디바이스를 생성함.</t>
  </si>
  <si>
    <r>
      <t xml:space="preserve">호스트가 인터럽트 설정을 조작하여 격리 벽을 허무는 것을 막기 위해, 호스트의 명령을 EL2에서 가로채(Trap) </t>
    </r>
    <r>
      <rPr>
        <b/>
        <sz val="11"/>
        <color theme="1"/>
        <rFont val="Arial"/>
        <family val="2"/>
      </rPr>
      <t>섀도 구조체(Shadow Structures)로 안전하게 에뮬레이션</t>
    </r>
    <r>
      <rPr>
        <sz val="11"/>
        <color theme="1"/>
        <rFont val="Arial"/>
        <family val="2"/>
      </rPr>
      <t>함.</t>
    </r>
  </si>
  <si>
    <t>vCPU의 특정 레지스터 값을 직접 설정하거나 읽어옴.</t>
  </si>
  <si>
    <t>부팅 시점 외에는 호스트 커널이 pVM vCPU의 핵심 시스템 레지스터를 직접 수정하거나 엿보는 동작을 거부하고 제어권을 방어함.</t>
  </si>
  <si>
    <r>
      <t>KVM_SET_ONE_REG</t>
    </r>
    <r>
      <rPr>
        <sz val="11"/>
        <color theme="1"/>
        <rFont val="Arial"/>
        <family val="2"/>
      </rPr>
      <t xml:space="preserve"> /</t>
    </r>
    <r>
      <rPr>
        <b/>
        <sz val="10"/>
        <color theme="1"/>
        <rFont val="Google Sans Text"/>
        <family val="3"/>
        <charset val="129"/>
      </rPr>
      <t xml:space="preserve"> KVM_GET_ONE_REG</t>
    </r>
    <phoneticPr fontId="3" type="noConversion"/>
  </si>
  <si>
    <t>KVM_CREATE_DEVICE (e.g., vGIC, vITS)</t>
    <phoneticPr fontId="3" type="noConversion"/>
  </si>
  <si>
    <t>Host Application</t>
  </si>
  <si>
    <t>Normal Camera Application</t>
  </si>
  <si>
    <t>Camera HW Driver</t>
  </si>
  <si>
    <t>AI HW Driver</t>
  </si>
  <si>
    <t>S2MPU/DMA HW Driver</t>
  </si>
  <si>
    <t>Secure OS(TEE)</t>
  </si>
  <si>
    <r>
      <t xml:space="preserve">pVM </t>
    </r>
    <r>
      <rPr>
        <sz val="12"/>
        <color rgb="FF333333"/>
        <rFont val="맑은 고딕"/>
        <family val="2"/>
        <charset val="129"/>
      </rPr>
      <t>생성/운용 및 Workload 탑재/실행을 요청하는 주체</t>
    </r>
    <phoneticPr fontId="3" type="noConversion"/>
  </si>
  <si>
    <t>AI Workload</t>
    <phoneticPr fontId="3" type="noConversion"/>
  </si>
  <si>
    <t>Camera Workload</t>
    <phoneticPr fontId="3" type="noConversion"/>
  </si>
  <si>
    <r>
      <t>AI</t>
    </r>
    <r>
      <rPr>
        <sz val="12"/>
        <color rgb="FF333333"/>
        <rFont val="맑은 고딕"/>
        <family val="2"/>
        <charset val="129"/>
      </rPr>
      <t xml:space="preserve">추론시 </t>
    </r>
    <r>
      <rPr>
        <sz val="12"/>
        <color rgb="FF333333"/>
        <rFont val="Segoe UI"/>
        <family val="2"/>
      </rPr>
      <t xml:space="preserve">HW </t>
    </r>
    <r>
      <rPr>
        <sz val="12"/>
        <color rgb="FF333333"/>
        <rFont val="맑은 고딕"/>
        <family val="2"/>
        <charset val="129"/>
      </rPr>
      <t xml:space="preserve">가속을 사용하기 위한 </t>
    </r>
    <r>
      <rPr>
        <sz val="12"/>
        <color rgb="FF333333"/>
        <rFont val="Segoe UI"/>
        <family val="2"/>
      </rPr>
      <t>Kernel Driver</t>
    </r>
    <phoneticPr fontId="3" type="noConversion"/>
  </si>
  <si>
    <r>
      <t>Camera</t>
    </r>
    <r>
      <rPr>
        <sz val="12"/>
        <color rgb="FF333333"/>
        <rFont val="맑은 고딕"/>
        <family val="2"/>
        <charset val="129"/>
      </rPr>
      <t xml:space="preserve">영상을 획득하기 위한 </t>
    </r>
    <r>
      <rPr>
        <sz val="12"/>
        <color rgb="FF333333"/>
        <rFont val="Segoe UI"/>
        <family val="2"/>
      </rPr>
      <t>Kernel Driver</t>
    </r>
    <phoneticPr fontId="3" type="noConversion"/>
  </si>
  <si>
    <r>
      <t xml:space="preserve">HW </t>
    </r>
    <r>
      <rPr>
        <sz val="12"/>
        <color rgb="FF333333"/>
        <rFont val="맑은 고딕"/>
        <family val="3"/>
        <charset val="129"/>
      </rPr>
      <t>사용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주체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전환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시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접근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격리를 제어하는 Driver</t>
    </r>
    <phoneticPr fontId="3" type="noConversion"/>
  </si>
  <si>
    <r>
      <rPr>
        <sz val="12"/>
        <color rgb="FF333333"/>
        <rFont val="맑은 고딕"/>
        <family val="3"/>
        <charset val="129"/>
      </rPr>
      <t>민감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데이터의</t>
    </r>
    <r>
      <rPr>
        <sz val="12"/>
        <color rgb="FF333333"/>
        <rFont val="Segoe UI"/>
        <family val="2"/>
      </rPr>
      <t xml:space="preserve"> ENC/DEC</t>
    </r>
    <r>
      <rPr>
        <sz val="12"/>
        <color rgb="FF333333"/>
        <rFont val="맑은 고딕"/>
        <family val="2"/>
        <charset val="129"/>
      </rPr>
      <t>를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처리하는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보안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실행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환경</t>
    </r>
    <phoneticPr fontId="3" type="noConversion"/>
  </si>
  <si>
    <r>
      <t>pVM</t>
    </r>
    <r>
      <rPr>
        <sz val="12"/>
        <color rgb="FF333333"/>
        <rFont val="맑은 고딕"/>
        <family val="2"/>
        <charset val="129"/>
      </rPr>
      <t>에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2"/>
        <charset val="129"/>
      </rPr>
      <t>탑재되어</t>
    </r>
    <r>
      <rPr>
        <sz val="12"/>
        <color rgb="FF333333"/>
        <rFont val="Segoe UI"/>
        <family val="2"/>
      </rPr>
      <t xml:space="preserve"> Secure Camera</t>
    </r>
    <r>
      <rPr>
        <sz val="12"/>
        <color rgb="FF333333"/>
        <rFont val="맑은 고딕"/>
        <family val="2"/>
        <charset val="129"/>
      </rPr>
      <t>영상 획득을 담당</t>
    </r>
    <phoneticPr fontId="3" type="noConversion"/>
  </si>
  <si>
    <r>
      <t>pVM</t>
    </r>
    <r>
      <rPr>
        <sz val="12"/>
        <color rgb="FF333333"/>
        <rFont val="맑은 고딕"/>
        <family val="3"/>
        <charset val="129"/>
      </rPr>
      <t>에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 xml:space="preserve">탑재되어 Secure </t>
    </r>
    <r>
      <rPr>
        <sz val="12"/>
        <color rgb="FF333333"/>
        <rFont val="Segoe UI"/>
        <family val="3"/>
      </rPr>
      <t xml:space="preserve">AI </t>
    </r>
    <r>
      <rPr>
        <sz val="12"/>
        <color rgb="FF333333"/>
        <rFont val="맑은 고딕"/>
        <family val="3"/>
        <charset val="129"/>
      </rPr>
      <t>추론을 담당</t>
    </r>
    <phoneticPr fontId="3" type="noConversion"/>
  </si>
  <si>
    <r>
      <t xml:space="preserve">Secure Camera </t>
    </r>
    <r>
      <rPr>
        <sz val="12"/>
        <color rgb="FF333333"/>
        <rFont val="맑은 고딕"/>
        <family val="2"/>
        <charset val="129"/>
      </rPr>
      <t xml:space="preserve">사용과 </t>
    </r>
    <r>
      <rPr>
        <sz val="12"/>
        <color rgb="FF333333"/>
        <rFont val="맑은 고딕"/>
        <family val="3"/>
        <charset val="129"/>
      </rPr>
      <t>충돌될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수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있는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일반</t>
    </r>
    <r>
      <rPr>
        <sz val="12"/>
        <color rgb="FF333333"/>
        <rFont val="Segoe UI"/>
        <family val="2"/>
      </rPr>
      <t xml:space="preserve"> Camera </t>
    </r>
    <r>
      <rPr>
        <sz val="12"/>
        <color rgb="FF333333"/>
        <rFont val="맑은 고딕"/>
        <family val="3"/>
        <charset val="129"/>
      </rPr>
      <t>사용</t>
    </r>
    <r>
      <rPr>
        <sz val="12"/>
        <color rgb="FF333333"/>
        <rFont val="Segoe UI"/>
        <family val="2"/>
      </rPr>
      <t xml:space="preserve"> </t>
    </r>
    <r>
      <rPr>
        <sz val="12"/>
        <color rgb="FF333333"/>
        <rFont val="맑은 고딕"/>
        <family val="3"/>
        <charset val="129"/>
      </rPr>
      <t>주체</t>
    </r>
    <phoneticPr fontId="3" type="noConversion"/>
  </si>
  <si>
    <r>
      <rPr>
        <b/>
        <sz val="12"/>
        <color rgb="FF000000"/>
        <rFont val="맑은 고딕"/>
        <family val="3"/>
        <charset val="129"/>
      </rPr>
      <t>외부</t>
    </r>
    <r>
      <rPr>
        <b/>
        <sz val="12"/>
        <color rgb="FF000000"/>
        <rFont val="Segoe UI"/>
        <family val="2"/>
      </rPr>
      <t xml:space="preserve"> </t>
    </r>
    <r>
      <rPr>
        <b/>
        <sz val="12"/>
        <color rgb="FF000000"/>
        <rFont val="Segoe UI"/>
        <family val="3"/>
      </rPr>
      <t>Module</t>
    </r>
    <phoneticPr fontId="3" type="noConversion"/>
  </si>
  <si>
    <t>역할</t>
    <phoneticPr fontId="3" type="noConversion"/>
  </si>
  <si>
    <t>DP1</t>
  </si>
  <si>
    <t>기밀성, 확장성, 가용성을 위한 pVM 관리 골격 설계</t>
  </si>
  <si>
    <t>DP2</t>
  </si>
  <si>
    <t>무결성 보장을 위한 보안 Workload 실행 방식 설계</t>
  </si>
  <si>
    <t>DP3</t>
  </si>
  <si>
    <t>성능(통신 오버헤드)을 위한 zero-copy 보안 채널 구조 설계</t>
  </si>
  <si>
    <t>DP4</t>
  </si>
  <si>
    <t>성능(실시간 처리) 및 자원 효율을 위한 HW IP 중재 구조 설계</t>
  </si>
  <si>
    <t>DP5</t>
  </si>
  <si>
    <t>GP API Backward Compatibility를 위한 TrustZone 연동 구조 설계</t>
  </si>
  <si>
    <t>DP6</t>
  </si>
  <si>
    <t>보안(기밀성)을 위한 Secure Storage 구조 설계</t>
  </si>
  <si>
    <t>제목</t>
  </si>
  <si>
    <t>DP</t>
  </si>
  <si>
    <t>관련 Driver</t>
  </si>
  <si>
    <t>FR-01, FR-02, FR-05, QA-01, QA-04, QA-06, CS-01, CS-02</t>
  </si>
  <si>
    <t>FR-01, FR-05, QA-01, QA-04, CS-01, CS-02</t>
  </si>
  <si>
    <t>FR-03, FR-04, QA-01, QA-02, QA-03, QA-05, CS-01, CS-02</t>
  </si>
  <si>
    <t>FR-03, QA-01, QA-02, QA-03, CS-01, CS-02</t>
  </si>
  <si>
    <t>FR-06, QA-01, QA-03, QA-05, CS-03</t>
  </si>
  <si>
    <t>FR-06, QA-01, QA-03, CS-03</t>
  </si>
  <si>
    <r>
      <rPr>
        <sz val="8"/>
        <color rgb="FF000000"/>
        <rFont val="맑은 고딕"/>
        <family val="2"/>
        <charset val="129"/>
      </rPr>
      <t xml:space="preserve">보안 </t>
    </r>
    <r>
      <rPr>
        <sz val="8"/>
        <color rgb="FF000000"/>
        <rFont val="Segoe UI"/>
        <family val="2"/>
      </rPr>
      <t>Workload</t>
    </r>
    <r>
      <rPr>
        <sz val="8"/>
        <color rgb="FF000000"/>
        <rFont val="맑은 고딕"/>
        <family val="3"/>
        <charset val="129"/>
      </rPr>
      <t>를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 xml:space="preserve">서명 검증 후, </t>
    </r>
    <r>
      <rPr>
        <sz val="8"/>
        <color rgb="FF000000"/>
        <rFont val="Segoe UI"/>
        <family val="2"/>
      </rPr>
      <t>pVM</t>
    </r>
    <r>
      <rPr>
        <sz val="8"/>
        <color rgb="FF000000"/>
        <rFont val="맑은 고딕"/>
        <family val="3"/>
        <charset val="129"/>
      </rPr>
      <t>에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동적으로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탑재한다</t>
    </r>
    <phoneticPr fontId="3" type="noConversion"/>
  </si>
  <si>
    <r>
      <t>Camera/AI HW</t>
    </r>
    <r>
      <rPr>
        <sz val="8"/>
        <color rgb="FF000000"/>
        <rFont val="맑은 고딕"/>
        <family val="2"/>
        <charset val="129"/>
      </rPr>
      <t>를</t>
    </r>
    <r>
      <rPr>
        <sz val="8"/>
        <color rgb="FF000000"/>
        <rFont val="Segoe UI"/>
        <family val="2"/>
      </rPr>
      <t xml:space="preserve"> Host/pVM</t>
    </r>
    <r>
      <rPr>
        <sz val="8"/>
        <color rgb="FF000000"/>
        <rFont val="맑은 고딕"/>
        <family val="2"/>
        <charset val="129"/>
      </rPr>
      <t>이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공유하고</t>
    </r>
    <r>
      <rPr>
        <sz val="8"/>
        <color rgb="FF000000"/>
        <rFont val="Segoe UI"/>
        <family val="2"/>
      </rPr>
      <t xml:space="preserve">, </t>
    </r>
    <r>
      <rPr>
        <sz val="8"/>
        <color rgb="FF000000"/>
        <rFont val="맑은 고딕"/>
        <family val="2"/>
        <charset val="129"/>
      </rPr>
      <t>사용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주체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전환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시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격리를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2"/>
        <charset val="129"/>
      </rPr>
      <t>보장한다</t>
    </r>
    <phoneticPr fontId="3" type="noConversion"/>
  </si>
  <si>
    <t>UC-03</t>
    <phoneticPr fontId="3" type="noConversion"/>
  </si>
  <si>
    <t>UC-04</t>
    <phoneticPr fontId="3" type="noConversion"/>
  </si>
  <si>
    <t>UC-05</t>
    <phoneticPr fontId="3" type="noConversion"/>
  </si>
  <si>
    <r>
      <rPr>
        <sz val="8"/>
        <color rgb="FF000000"/>
        <rFont val="맑은 고딕"/>
        <family val="3"/>
        <charset val="129"/>
      </rPr>
      <t>도메인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간</t>
    </r>
    <r>
      <rPr>
        <sz val="8"/>
        <color rgb="FF000000"/>
        <rFont val="Segoe UI"/>
        <family val="2"/>
      </rPr>
      <t xml:space="preserve"> DMABUF </t>
    </r>
    <r>
      <rPr>
        <sz val="8"/>
        <color rgb="FF000000"/>
        <rFont val="맑은 고딕"/>
        <family val="3"/>
        <charset val="129"/>
      </rPr>
      <t>전송</t>
    </r>
    <phoneticPr fontId="3" type="noConversion"/>
  </si>
  <si>
    <r>
      <t xml:space="preserve">pVM↔pVM, pVM↔Host </t>
    </r>
    <r>
      <rPr>
        <sz val="8"/>
        <color rgb="FF000000"/>
        <rFont val="맑은 고딕"/>
        <family val="3"/>
        <charset val="129"/>
      </rPr>
      <t>간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Segoe UI"/>
        <family val="3"/>
      </rPr>
      <t>DMABUF</t>
    </r>
    <r>
      <rPr>
        <sz val="8"/>
        <color rgb="FF000000"/>
        <rFont val="맑은 고딕"/>
        <family val="3"/>
        <charset val="129"/>
      </rPr>
      <t>를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비신뢰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주체에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노출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없이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전달한다</t>
    </r>
    <phoneticPr fontId="3" type="noConversion"/>
  </si>
  <si>
    <t>FR-03</t>
    <phoneticPr fontId="3" type="noConversion"/>
  </si>
  <si>
    <t>FR-04</t>
    <phoneticPr fontId="3" type="noConversion"/>
  </si>
  <si>
    <t>FR-05</t>
    <phoneticPr fontId="3" type="noConversion"/>
  </si>
  <si>
    <t>보안 Workload를 서명 검증 후 동적으로 pVM에 탑재하는 기능을 제공한다.</t>
  </si>
  <si>
    <t>Camera/AI HW를 Host/pVM이 공유하고, 사용 주체 전환 시 격리를 보장하는 기능을 제공한다.</t>
  </si>
  <si>
    <t>pVM↔pVM, pVM↔Host 간 DMABUF를 비신뢰 주체에 노출 없이 전달하는 기능을 제공한다.</t>
  </si>
  <si>
    <t>pVM내에서 암호화/복호화 명령을 Secure OS에 전달하는 기능을 제공한다.</t>
  </si>
  <si>
    <t>2026-10-30까지 제한된 인력으로 E2E 데모를 완료해야 한다.</t>
  </si>
  <si>
    <t>기 포팅된 pKVM의 TCB는 작게 유지 되어야 한다.</t>
  </si>
  <si>
    <t>VOS ID</t>
  </si>
  <si>
    <t>CS-01</t>
  </si>
  <si>
    <t>CS-02</t>
  </si>
  <si>
    <t>API 문서화 요구는 구조 설계에서 제외</t>
  </si>
  <si>
    <t>일정/인력 관련 프로젝트 관리 사항으로 구조 설계에서 제외</t>
  </si>
  <si>
    <r>
      <rPr>
        <sz val="8"/>
        <color rgb="FF000000"/>
        <rFont val="맑은 고딕"/>
        <family val="3"/>
        <charset val="129"/>
      </rPr>
      <t>중요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품질속성</t>
    </r>
    <r>
      <rPr>
        <sz val="8"/>
        <color rgb="FF000000"/>
        <rFont val="Segoe UI"/>
        <family val="2"/>
      </rPr>
      <t xml:space="preserve"> </t>
    </r>
    <r>
      <rPr>
        <sz val="8"/>
        <color rgb="FF000000"/>
        <rFont val="맑은 고딕"/>
        <family val="3"/>
        <charset val="129"/>
      </rPr>
      <t>아님</t>
    </r>
    <phoneticPr fontId="3" type="noConversion"/>
  </si>
  <si>
    <t>QA</t>
    <phoneticPr fontId="3" type="noConversion"/>
  </si>
  <si>
    <t>성능 효율성 (Performance Efficiency)</t>
  </si>
  <si>
    <t>시간 반응성 (Time behaviour)</t>
  </si>
  <si>
    <t>자원 활용성 (Resource utilization)</t>
  </si>
  <si>
    <t>용량 (Capacity)</t>
  </si>
  <si>
    <t>호환성 (Compatibility)</t>
  </si>
  <si>
    <t>공존성 (Co-existence)</t>
  </si>
  <si>
    <t>사용성 (Usability)</t>
  </si>
  <si>
    <t>적절성 인식성 (Appropriateness recognizability)</t>
  </si>
  <si>
    <t>사용자가 제품/시스템이 자신의 요구에 적절한지 인식할 수 있는 정도</t>
  </si>
  <si>
    <t>학습성 (Learnability)</t>
  </si>
  <si>
    <t>특정 사용자가 제품/시스템 사용법을 학습하여 목표를 달성할 수 있는 정도</t>
  </si>
  <si>
    <t>운용성 (Operability)</t>
  </si>
  <si>
    <t>제품/시스템이 운용하고 제어하기 쉬운 속성을 갖는 정도</t>
  </si>
  <si>
    <t>사용자 오류 방지 (User error protection)</t>
  </si>
  <si>
    <t>시스템이 사용자의 오류 유발을 방지하는 정도</t>
  </si>
  <si>
    <t>사용자 인터페이스 심미성 (User interface aesthetics)</t>
  </si>
  <si>
    <t>사용자 인터페이스가 사용자에게 즐겁고 만족스러운 상호작용을 가능하게 하는 정도</t>
  </si>
  <si>
    <t>접근성 (Accessibility)</t>
  </si>
  <si>
    <t>다양한 특성과 능력을 가진 사람들이 명시된 사용 맥락에서 제품/시스템을 사용할 수 있는 정도</t>
  </si>
  <si>
    <t>기능 수행 시 응답 시간, 처리 시간, 처리율(throughput)이 요구사항을 충족하는 정도</t>
  </si>
  <si>
    <t>기능 수행 시 사용하는 자원의 양과 유형이 요구사항을 충족하는 정도</t>
  </si>
  <si>
    <t>제품/시스템 파라미터의 최대 한계가 요구사항을 충족하는 정도</t>
  </si>
  <si>
    <t>공통 환경과 자원을 공유하는 다른 제품에 해로운 영향 없이 요구 기능을 효율적으로 수행하는 정도</t>
  </si>
  <si>
    <t>상호운용성 (Interoperability)</t>
  </si>
  <si>
    <t>둘 이상의 시스템/제품/컴포넌트가 정보를 교환하고 교환된 정보를 사용할 수 있는 정도</t>
  </si>
  <si>
    <t>신뢰성 (Reliability)</t>
  </si>
  <si>
    <t>성숙성 (Maturity)</t>
  </si>
  <si>
    <t>정상 운영 상태에서 신뢰성 요구를 충족하는 정도</t>
  </si>
  <si>
    <t>가용성 (Availability)</t>
  </si>
  <si>
    <t>사용이 요구되는 시점에 운영 가능하고 접근 가능한 정도</t>
  </si>
  <si>
    <t>결함 허용성 (Fault tolerance)</t>
  </si>
  <si>
    <t>하드웨어 또는 소프트웨어 결함에도 불구하고 의도된 대로 동작하는 정도</t>
  </si>
  <si>
    <t>복구성 (Recoverability)</t>
  </si>
  <si>
    <t>중단이나 고장 발생 시, 직접 영향을 받은 데이터를 복구하고 시스템을 원하는 상태로 재확립할 수 있는 정도</t>
  </si>
  <si>
    <t>보안성 (Security)</t>
  </si>
  <si>
    <t>기밀성 (Confidentiality)</t>
  </si>
  <si>
    <t>접근 권한이 있는 자에게만 데이터 접근이 허용됨을 보장하는 정도</t>
  </si>
  <si>
    <t>무결성 (Integrity)</t>
  </si>
  <si>
    <t>컴퓨터 프로그램 또는 데이터에 대한 비인가 접근/변경을 방지하는 정도</t>
  </si>
  <si>
    <t>부인 방지 (Non-repudiation)</t>
  </si>
  <si>
    <t>행위나 사건의 발생을 사후에 부인할 수 없도록 입증할 수 있는 정도</t>
  </si>
  <si>
    <t>책임 추적성 (Accountability)</t>
  </si>
  <si>
    <t>어떤 실체(entity)의 행위를 그 실체로 유일하게 추적할 수 있는 정도</t>
  </si>
  <si>
    <t>인증성 (Authenticity)</t>
  </si>
  <si>
    <t>주체(subject)나 자원의 신원이 주장된 것과 일치함을 입증할 수 있는 정도</t>
  </si>
  <si>
    <t>유지보수성 (Maintainability)</t>
  </si>
  <si>
    <t>모듈성 (Modularity)</t>
  </si>
  <si>
    <t>한 컴포넌트의 변경이 다른 컴포넌트에 미치는 영향이 최소화되도록 시스템이 분리된 컴포넌트로 구성된 정도</t>
  </si>
  <si>
    <t>재사용성 (Reusability)</t>
  </si>
  <si>
    <t>자산(asset)을 둘 이상의 시스템 또는 다른 자산 구축에 사용할 수 있는 정도</t>
  </si>
  <si>
    <t>분석성 (Analysability)</t>
  </si>
  <si>
    <t>변경이 다른 부분에 미치는 영향 평가, 결함/고장 원인 진단, 수정 대상 식별을 효과적이고 효율적으로 할 수 있는 정도</t>
  </si>
  <si>
    <t>수정성 (Modifiability)</t>
  </si>
  <si>
    <t>결함 유입이나 기존 품질 저하 없이 효과적이고 효율적으로 수정할 수 있는 정도</t>
  </si>
  <si>
    <t>시험성 (Testability)</t>
  </si>
  <si>
    <t>시스템/제품/컴포넌트에 대한 시험 기준을 수립하고, 그 기준 충족 여부를 판정하는 시험을 효과적이고 효율적으로 수행할 수 있는 정도</t>
  </si>
  <si>
    <t>이식성 (Portability)</t>
  </si>
  <si>
    <t>적응성 (Adaptability)</t>
  </si>
  <si>
    <t>상이하거나 진화하는 하드웨어/소프트웨어/운영 환경에 효과적이고 효율적으로 적응할 수 있는 정도</t>
  </si>
  <si>
    <t>설치성 (Installability)</t>
  </si>
  <si>
    <t>명시된 환경에서 효과적이고 효율적으로 설치/제거할 수 있는 정도</t>
  </si>
  <si>
    <t>대체성 (Replaceability)</t>
  </si>
  <si>
    <t>동일 환경에서 동일 목적의 다른 소프트웨어 제품을 대체할 수 있는 정도</t>
  </si>
  <si>
    <r>
      <rPr>
        <b/>
        <sz val="12"/>
        <color rgb="FF333333"/>
        <rFont val="맑은 고딕"/>
        <family val="2"/>
        <charset val="129"/>
      </rPr>
      <t>확장성</t>
    </r>
    <r>
      <rPr>
        <b/>
        <sz val="12"/>
        <color rgb="FF333333"/>
        <rFont val="Segoe UI"/>
        <family val="2"/>
      </rPr>
      <t xml:space="preserve"> (Scalability)</t>
    </r>
    <phoneticPr fontId="3" type="noConversion"/>
  </si>
  <si>
    <t>지표명</t>
  </si>
  <si>
    <t>측정 함수 및 방법</t>
  </si>
  <si>
    <t>PTb-1-G</t>
  </si>
  <si>
    <t>평균 응답 시간 (Mean response time)</t>
  </si>
  <si>
    <t>X = Σ(Bi − Ai)/n. Ai: i번째 과업 요청 시각, Bi: 응답 시작 시각, n: 측정 횟수</t>
  </si>
  <si>
    <t>PTb-2-S</t>
  </si>
  <si>
    <t>응답 시간 적정성 (Response time adequacy)</t>
  </si>
  <si>
    <t>X = A/B. A: 실측 평균 응답 시간, B: 명세된 목표 응답 시간. 1 이하일수록 적정</t>
  </si>
  <si>
    <t>PTb-3-G</t>
  </si>
  <si>
    <t>평균 반환 시간 (Mean turnaround time)</t>
  </si>
  <si>
    <t>X = Σ(작업 요청부터 작업 완료까지의 시간)/n. 작업(job) 완료 기준의 평균 소요 시간</t>
  </si>
  <si>
    <t>PTb-4-S</t>
  </si>
  <si>
    <t>반환 시간 적정성 (Turnaround time adequacy)</t>
  </si>
  <si>
    <t>X = A/B. A: 실측 평균 반환 시간, B: 명세된 목표 반환 시간</t>
  </si>
  <si>
    <t>PTb-5-G</t>
  </si>
  <si>
    <t>평균 처리율 (Mean throughput)</t>
  </si>
  <si>
    <t>X = Σ(단위 시간당 완료 작업 수)/n. 관측 구간별 처리율의 평균</t>
  </si>
  <si>
    <t>PRu-1-G</t>
  </si>
  <si>
    <t>평균 프로세서 사용률 (Mean processor utilization)</t>
  </si>
  <si>
    <t>X = Σ(Ai/Bi)/n. Ai: 실제 사용한 프로세서 시간, Bi: 운영 시간. 낮을수록 좋음</t>
  </si>
  <si>
    <t>PRu-2-G</t>
  </si>
  <si>
    <t>평균 메모리 사용률 (Mean memory utilization)</t>
  </si>
  <si>
    <t>X = Σ(Ai/Bi)/n. Ai: 실제 사용한 메모리 크기, Bi: 가용 메모리 크기. 낮을수록 좋음</t>
  </si>
  <si>
    <t>PRu-3-G</t>
  </si>
  <si>
    <t>평균 I/O 장치 사용률 (Mean I/O devices utilization)</t>
  </si>
  <si>
    <t>X = Σ(Ai/Bi)/n. Ai: I/O 장치 점유(busy) 시간, Bi: I/O 작업에 요구되는 시간. 낮을수록 좋음</t>
  </si>
  <si>
    <t>PRu-4-S</t>
  </si>
  <si>
    <t>대역폭 사용률 (Bandwidth utilization)</t>
  </si>
  <si>
    <t>X = A/B. A: 사용한 전송 대역폭, B: 가용(용량) 대역폭</t>
  </si>
  <si>
    <t>PCa-1-G</t>
  </si>
  <si>
    <t>트랜잭션 처리 용량 (Transaction processing capacity)</t>
  </si>
  <si>
    <t>X = A/T. A: 완료된 트랜잭션 수, T: 관측 시간. 단위 시간당 처리 가능한 트랜잭션 수</t>
  </si>
  <si>
    <t>PCa-2-S</t>
  </si>
  <si>
    <t>사용자 접속 용량 (User access capacity)</t>
  </si>
  <si>
    <t>X = 단위 시간 내 시스템이 정상 처리 가능한 최대 동시 사용자 수</t>
  </si>
  <si>
    <t>PCa-3-S</t>
  </si>
  <si>
    <t>사용자 접속 증가 적정성 (User access increase adequacy)</t>
  </si>
  <si>
    <t>X = A/B. A: 수용 가능한 추가 동시 사용자 수, B: 요구되는 추가 동시 사용자 수</t>
  </si>
  <si>
    <t>성능 효율성 측정 (8.3)</t>
  </si>
  <si>
    <t> 호환성 측정 (8.4)</t>
  </si>
  <si>
    <t>CCo-1-G</t>
  </si>
  <si>
    <t>타 제품과의 공존성 (Co-existence with other products)</t>
  </si>
  <si>
    <t>X = A/B. A: 환경 공유 중에도 품질 요구를 계속 충족하는 타 제품 수, B: 환경을 공유하는 타 제품 총수</t>
  </si>
  <si>
    <t>CIn-1-G</t>
  </si>
  <si>
    <t>데이터 형식 교환성 (Data formats exchangeability)</t>
  </si>
  <si>
    <t>X = A/B. A: 타 시스템과 교환 가능한 데이터 형식 수, B: 교환이 요구되는 데이터 형식 수</t>
  </si>
  <si>
    <t>CIn-2-S</t>
  </si>
  <si>
    <t>데이터 교환 프로토콜 충분성 (Data exchange protocol sufficiency)</t>
  </si>
  <si>
    <t>X = A/B. A: 지원되는 데이터 교환 프로토콜 수, B: 요구되는 데이터 교환 프로토콜 수</t>
  </si>
  <si>
    <t>CIn-3-S</t>
  </si>
  <si>
    <t>외부 인터페이스 적정성 (External interface adequacy)</t>
  </si>
  <si>
    <t>X = A/B. A: 명세대로 구현된 외부 인터페이스 수, B: 명세된 외부 인터페이스 수</t>
  </si>
  <si>
    <t>사용성 측정 (8.5)</t>
  </si>
  <si>
    <t>UAp-1-G</t>
  </si>
  <si>
    <t>설명 완전성 (Description completeness)</t>
  </si>
  <si>
    <t>X = A/B. A: 제품 설명(문서)에 기술된 사용 시나리오 수, B: 제품이 수행 가능한 사용 시나리오 수</t>
  </si>
  <si>
    <t>UAp-2-S</t>
  </si>
  <si>
    <t>데모 커버리지 (Demonstration coverage)</t>
  </si>
  <si>
    <t>X = A/B. A: 데모/튜토리얼이 제공되는 과업 수, B: 데모가 필요한 과업 수</t>
  </si>
  <si>
    <t>UAp-3-S</t>
  </si>
  <si>
    <t>진입점 자기 서술성 (Entry point self-descriptiveness)</t>
  </si>
  <si>
    <t>X = A/B. A: 목적과 내용을 스스로 설명하는 진입점(예: 웹사이트 랜딩) 수, B: 전체 진입점 수</t>
  </si>
  <si>
    <t>ULe-1-G</t>
  </si>
  <si>
    <t>사용자 안내 완전성 (User guidance completeness)</t>
  </si>
  <si>
    <t>X = A/B. A: 사용자 문서/도움말이 제공되는 기능 수, B: 전체 기능 수</t>
  </si>
  <si>
    <t>ULe-2-S</t>
  </si>
  <si>
    <t>입력 필드 기본값 (Entry fields defaults)</t>
  </si>
  <si>
    <t>X = A/B. A: 기본값이 제공되는 입력 필드 수, B: 기본값 제공이 가능한 입력 필드 수</t>
  </si>
  <si>
    <t>ULe-3-S</t>
  </si>
  <si>
    <t>오류 메시지 이해성 (Error messages understandability)</t>
  </si>
  <si>
    <t>X = A/B. A: 원인과 해결 방법을 알려주는 오류 메시지 수, B: 전체 오류 메시지 수</t>
  </si>
  <si>
    <t>ULe-4-S</t>
  </si>
  <si>
    <t>자기 설명적 사용자 인터페이스 (Self-explanatory user interface)</t>
  </si>
  <si>
    <t>X = A/B. A: 별도 설명 없이 이해 가능한 UI 요소 수, B: 전체 UI 요소 수</t>
  </si>
  <si>
    <t>UOp-1-G</t>
  </si>
  <si>
    <t>운용 일관성 (Operational consistency)</t>
  </si>
  <si>
    <t>X = 1 − A/B. A: 유사 과업 간 조작이 일관되지 않은 상호작용 과업 수, B: 유사 조작을 갖는 상호작용 과업 수</t>
  </si>
  <si>
    <t>UOp-2-G</t>
  </si>
  <si>
    <t>메시지 명확성 (Message clarity)</t>
  </si>
  <si>
    <t>X = A/B. A: 올바른 의미를 전달하는 메시지 수, B: 전체 메시지 수</t>
  </si>
  <si>
    <t>UOp-3-S</t>
  </si>
  <si>
    <t>기능 커스터마이즈 가능성 (Functional customizability)</t>
  </si>
  <si>
    <t>X = A/B. A: 커스터마이즈 가능한 기능 수, B: 커스터마이즈가 요구되는 기능 수</t>
  </si>
  <si>
    <t>UOp-4-S</t>
  </si>
  <si>
    <t>UI 커스터마이즈 가능성 (User interface customizability)</t>
  </si>
  <si>
    <t>X = A/B. A: 커스터마이즈 가능한 UI 요소 수, B: 커스터마이즈가 요구되는 UI 요소 수</t>
  </si>
  <si>
    <t>UOp-5-S</t>
  </si>
  <si>
    <t>모니터링 능력 (Monitoring capability)</t>
  </si>
  <si>
    <t>X = A/B. A: 구현된 상태 모니터링 기능 수, B: 요구되는 상태 모니터링 기능 수</t>
  </si>
  <si>
    <t>UOp-6-S</t>
  </si>
  <si>
    <t>실행 취소 능력 (Undo capability)</t>
  </si>
  <si>
    <t>X = A/B. A: 실행 취소(undo)가 가능한 과업 수, B: 실행 취소가 필요한 과업 수</t>
  </si>
  <si>
    <t>UOp-7-S</t>
  </si>
  <si>
    <t>정보 분류 이해성 (Understandable categorization of information)</t>
  </si>
  <si>
    <t>X = A/B. A: 사용자가 이해하기 쉽게 분류된 정보 카테고리 수, B: 전체 정보 카테고리 수</t>
  </si>
  <si>
    <t>UOp-8-S</t>
  </si>
  <si>
    <t>외관 일관성 (Appearance consistency)</t>
  </si>
  <si>
    <t>X = 1 − A/B. A: 유사 UI 요소 중 외관이 일관되지 않은 요소 수, B: 유사 외관이 요구되는 UI 요소 수</t>
  </si>
  <si>
    <t>UOp-9-S</t>
  </si>
  <si>
    <t>입력 장치 지원 (Input device support)</t>
  </si>
  <si>
    <t>X = A/B. A: 적합한 모든 입력 방식으로 시작 가능한 과업 수, B: 전체 과업 수</t>
  </si>
  <si>
    <t>UEp-1-G</t>
  </si>
  <si>
    <t>사용자 조작 오류 회피 (Avoidance of user operation error)</t>
  </si>
  <si>
    <t>X = A/B. A: 시스템 오동작을 유발하지 않도록 보호된 사용자 행위/입력 수, B: 오동작을 유발할 수 있는 사용자 행위/입력 수</t>
  </si>
  <si>
    <t>UEp-2-S</t>
  </si>
  <si>
    <t>사용자 입력 오류 수정 (User entry error correction)</t>
  </si>
  <si>
    <t>X = A/B. A: 수정값이 제안되는 입력 오류 수, B: 전체 입력 오류 수</t>
  </si>
  <si>
    <t>UEp-3-S</t>
  </si>
  <si>
    <t>사용자 오류 복구성 (User error recoverability)</t>
  </si>
  <si>
    <t>X = A/B. A: 사용자 오류 후 복구(취소/되돌리기) 가능한 오류 수, B: 전체 사용자 오류 수</t>
  </si>
  <si>
    <t>UIn-1-S</t>
  </si>
  <si>
    <t>UI 외관 심미성 (Appearance aesthetics of user interfaces)</t>
  </si>
  <si>
    <t>X = A/B. A: 사용자에게 심미적으로 만족스러운 화면 수, B: 전체 화면 수. 설문 등 주관 평가 기반</t>
  </si>
  <si>
    <t>UAc-1-S</t>
  </si>
  <si>
    <t>장애 사용자 접근성 (Accessibility for users with disabilities)</t>
  </si>
  <si>
    <t>X = A/B. A: 특정 장애를 가진 사용자가 사용 가능한 기능 수, B: 구현된 기능 수</t>
  </si>
  <si>
    <t>UAc-2-S</t>
  </si>
  <si>
    <t>지원 언어 적정성 (Supported languages adequacy)</t>
  </si>
  <si>
    <t>X = A/B. A: 지원되는 언어 수, B: 요구되는 언어 수</t>
  </si>
  <si>
    <t> 신뢰성 측정 (8.6)</t>
  </si>
  <si>
    <t>RMa-1-G</t>
  </si>
  <si>
    <t>결함 수정률 (Fault correction)</t>
  </si>
  <si>
    <t>X = A/B. A: 설계/코딩/시험 단계에서 수정된 결함 수, B: 탐지된 결함 수</t>
  </si>
  <si>
    <t>RMa-2-G</t>
  </si>
  <si>
    <t>평균 고장 간격 (Mean time between failure, MTBF)</t>
  </si>
  <si>
    <t>X = T/A. T: 운영 시간, A: 발생한 고장 수. 높을수록 좋음(0~1 정규화 아님)</t>
  </si>
  <si>
    <t>RMa-3-G</t>
  </si>
  <si>
    <t>고장률 (Failure rate)</t>
  </si>
  <si>
    <t>X = A/T. A: 관측 기간 내 고장 수, T: 관측 시간. 낮을수록 좋음</t>
  </si>
  <si>
    <t>RMa-4-S</t>
  </si>
  <si>
    <t>시험 커버리지 (Test coverage)</t>
  </si>
  <si>
    <t>X = A/B. A: 실제 수행된 시험 케이스 수, B: 요구사항 커버에 필요한 시험 케이스 수</t>
  </si>
  <si>
    <t>RAv-1-G</t>
  </si>
  <si>
    <t>시스템 가용성 (System availability)</t>
  </si>
  <si>
    <t>X = A/B. A: 실제 시스템이 운영 가능했던 시간, B: 운영이 계획된 시간</t>
  </si>
  <si>
    <t>RAv-2-S</t>
  </si>
  <si>
    <t>평균 다운 시간 (Mean down time)</t>
  </si>
  <si>
    <t>X = T/N. T: 총 다운 시간(수리, 시정/예방 정비, 물류 지연 포함), N: 고장(중단) 횟수. 낮을수록 좋음</t>
  </si>
  <si>
    <t>RFt-1-G</t>
  </si>
  <si>
    <t>고장 회피 (Failure avoidance)</t>
  </si>
  <si>
    <t>X = A/B. A: 치명적/중대한 고장으로 이어지지 않도록 통제된 결함 패턴 수, B: 고려한 결함 패턴 수. 결함 주입 시험 등으로 측정</t>
  </si>
  <si>
    <t>RFt-2-S</t>
  </si>
  <si>
    <t>컴포넌트 이중화 (Redundancy of components)</t>
  </si>
  <si>
    <t>X = A/B. A: 이중화 설치된 컴포넌트 수, B: 시스템 고장 회피를 위해 이중화가 필요한 컴포넌트 수</t>
  </si>
  <si>
    <t>RFt-3-S</t>
  </si>
  <si>
    <t>평균 결함 통지 시간 (Mean fault notification time)</t>
  </si>
  <si>
    <t>X = Σ(결함 발생 시각부터 시스템이 통지한 시각까지의 시간)/N. 낮을수록 좋음</t>
  </si>
  <si>
    <t>RRe-1-G</t>
  </si>
  <si>
    <t>평균 복구 시간 (Mean recovery time)</t>
  </si>
  <si>
    <t>X = Σ(고장 후 복구 완료까지의 시간)/N. 낮을수록 좋음</t>
  </si>
  <si>
    <t>RRe-2-S</t>
  </si>
  <si>
    <t>백업 데이터 완전성 (Backup data completeness)</t>
  </si>
  <si>
    <t>X = A/B. A: 정기적으로 백업되는 데이터 항목 수, B: 백업이 요구되는 데이터 항목 수</t>
  </si>
  <si>
    <t>보안성 측정 (8.7)</t>
  </si>
  <si>
    <t>SCo-1-G</t>
  </si>
  <si>
    <t>접근 통제성 (Access controllability)</t>
  </si>
  <si>
    <t>X = A/B. A: 적절한 인가 절차를 통해서만 접근 가능하도록 통제된 기밀 데이터 항목 수, B: 접근 통제가 요구되는 기밀 데이터 항목 수</t>
  </si>
  <si>
    <t>SCo-2-S</t>
  </si>
  <si>
    <t>데이터 암호화 정확성 (Data encryption correctness)</t>
  </si>
  <si>
    <t>X = A/B. A: 올바르게 암·복호화되는 데이터 항목 수, B: 암·복호화가 요구되는 데이터 항목 수</t>
  </si>
  <si>
    <t>SCo-3-S</t>
  </si>
  <si>
    <t>암호 알고리즘 강도 (Strength of cryptographic algorithms)</t>
  </si>
  <si>
    <t>X = A/B. A: 충분히 강한(파훼되지 않은) 암호 알고리즘이 적용된 데이터 항목 수, B: 암호 알고리즘이 적용된 데이터 항목 수</t>
  </si>
  <si>
    <t>SIn-1-G</t>
  </si>
  <si>
    <t>데이터 무결성 (Data integrity)</t>
  </si>
  <si>
    <t>X = A/B. A: 손상(corruption)이 방지된 데이터 항목 수, B: 손상 방지가 요구되는 데이터 항목 수</t>
  </si>
  <si>
    <t>SIn-2-S</t>
  </si>
  <si>
    <t>내부 데이터 손상 방지 (Internal data corruption prevention)</t>
  </si>
  <si>
    <t>X = A/B. A: 구현된 데이터 손상 방지 방법 수, B: 가용/권고되는 데이터 손상 방지 방법 수</t>
  </si>
  <si>
    <t>SIn-3-S</t>
  </si>
  <si>
    <t>버퍼 오버플로 방지 (Buffer overflow prevention)</t>
  </si>
  <si>
    <t>X = A/B. A: 경계 검사가 수행되는 사용자 입력 기반 메모리 접근 수, B: 사용자 입력 기반 메모리 접근 총수</t>
  </si>
  <si>
    <t>SNo-1-G</t>
  </si>
  <si>
    <t>전자 서명 사용률 (Digital signature usage)</t>
  </si>
  <si>
    <t>X = A/B. A: 전자 서명 등으로 캡처되는 이벤트 수, B: 부인 방지가 요구되는 이벤트 수</t>
  </si>
  <si>
    <t>SAc-1-G</t>
  </si>
  <si>
    <t>사용자 감사 추적 완전성 (User audit trail completeness)</t>
  </si>
  <si>
    <t>X = A/B. A: 로그에 기록되는 사용자 접근 수, B: 전체 사용자 접근 수</t>
  </si>
  <si>
    <t>SAc-2-S</t>
  </si>
  <si>
    <t>시스템 로그 보존성 (System log retention)</t>
  </si>
  <si>
    <t>X = A/B. A: 안정적 저장소에 로그가 실제 보존되는 기간, B: 요구되는 로그 보존 기간</t>
  </si>
  <si>
    <t>SAu-1-G</t>
  </si>
  <si>
    <t>인증 메커니즘 충분성 (Authentication mechanism sufficiency)</t>
  </si>
  <si>
    <t>X = A/B. A: 구현된 인증 메커니즘 수, B: 명세된 인증 메커니즘 수</t>
  </si>
  <si>
    <t>SAu-2-S</t>
  </si>
  <si>
    <t>인증 규칙 준수성 (Authentication rules conformity)</t>
  </si>
  <si>
    <t>X = A/B. A: 구현된 인증 규칙 수, B: 명세된 인증 규칙 수</t>
  </si>
  <si>
    <t>유지보수성 측정 (8.8)</t>
  </si>
  <si>
    <t>MMo-1-G</t>
  </si>
  <si>
    <t>컴포넌트 결합도 (Coupling of components)</t>
  </si>
  <si>
    <t>X = A/B. A: 다른 컴포넌트에 영향을 주지 않는(독립적인) 컴포넌트 수, B: 독립적이어야 하는 컴포넌트 수</t>
  </si>
  <si>
    <t>MMo-2-S</t>
  </si>
  <si>
    <t>순환 복잡도 적정성 (Cyclomatic complexity adequacy)</t>
  </si>
  <si>
    <t>X = 1 − A/B. A: 허용 임계값을 초과하는 순환 복잡도를 갖는 모듈 수, B: 전체 모듈 수</t>
  </si>
  <si>
    <t>MRe-1-G</t>
  </si>
  <si>
    <t>자산 재사용성 (Reusability of assets)</t>
  </si>
  <si>
    <t>X = A/B. A: 재사용 가능하도록 설계/구축된 자산 수, B: 전체 자산 수</t>
  </si>
  <si>
    <t>MRe-2-S</t>
  </si>
  <si>
    <t>코딩 규칙 준수성 (Coding rules conformity)</t>
  </si>
  <si>
    <t>X = A/B. A: 코딩 규칙을 준수하는 모듈 수, B: 전체 모듈 수</t>
  </si>
  <si>
    <t>MAn-1-G</t>
  </si>
  <si>
    <t>시스템 로그 완전성 (System log completeness)</t>
  </si>
  <si>
    <t>X = A/B. A: 실제 기록되는 로그 수, B: 감사(audit)에 필요한 것으로 요구되는 로그 수</t>
  </si>
  <si>
    <t>MAn-2-S</t>
  </si>
  <si>
    <t>진단 기능 유효성 (Diagnosis function effectiveness)</t>
  </si>
  <si>
    <t>X = A/B. A: 원인 분석에 유용한 진단 기능 수, B: 구현된 진단 기능 수</t>
  </si>
  <si>
    <t>MAn-3-S</t>
  </si>
  <si>
    <t>진단 기능 충분성 (Diagnosis function sufficiency)</t>
  </si>
  <si>
    <t>X = A/B. A: 구현된 진단 기능 수, B: 요구되는 진단 기능 수</t>
  </si>
  <si>
    <t>MMd-1-G</t>
  </si>
  <si>
    <t>수정 효율성 (Modification efficiency)</t>
  </si>
  <si>
    <t>X = Σ(Ai/Bi)/n. Ai: i번째 수정의 예상(기대) 소요 시간, Bi: 실제 소요 시간. 수정별 기대 대비 실적의 평균</t>
  </si>
  <si>
    <t>MMd-2-S</t>
  </si>
  <si>
    <t>수정 정확성 (Modification correctness)</t>
  </si>
  <si>
    <t>X = 1 − A/B. A: 수정 후 일정 기간 내 장애/품질 저하를 유발한 수정 수, B: 수행된 수정 수</t>
  </si>
  <si>
    <t>MMd-3-S</t>
  </si>
  <si>
    <t>수정 능력 (Modification capability)</t>
  </si>
  <si>
    <t>X = A/B. A: 요구된 기간(time-box) 내 실제 구현된 수정 수, B: 요구된 수정 수</t>
  </si>
  <si>
    <t>MTe-1-G</t>
  </si>
  <si>
    <t>시험 기능 완전성 (Test function completeness)</t>
  </si>
  <si>
    <t>X = A/B. A: 요구대로 구현된 시험 기능(테스트 지원 기능) 수, B: 요구되는 시험 기능 수</t>
  </si>
  <si>
    <t>MTe-2-S</t>
  </si>
  <si>
    <t>자율 시험성 (Autonomous testability)</t>
  </si>
  <si>
    <t>X = A/B. A: 다른 (하위)시스템에 의존하지 않고 단독 수행 가능한 시험 수, B: 시뮬레이션으로 단독 시험이 가능해야 하는 시험 수</t>
  </si>
  <si>
    <t>MTe-3-S</t>
  </si>
  <si>
    <t>시험 재시작성 (Test restartability)</t>
  </si>
  <si>
    <t>X = A/B. A: 중단 후 체크포인트에서 재개 가능한 시험 수, B: 일시 중지가 필요한 시험 수</t>
  </si>
  <si>
    <t> 이식성 측정 (8.9)</t>
  </si>
  <si>
    <t>PAd-1-G</t>
  </si>
  <si>
    <t>하드웨어 환경 적응성 (Hardware environmental adaptability)</t>
  </si>
  <si>
    <t>X = 1 − A/B. A: 새 하드웨어 환경에서 과업을 완료하지 못했거나 요구 수준에 미달한 기능 수, B: 새 하드웨어 환경에서 시험한 기능 수</t>
  </si>
  <si>
    <t>PAd-2-S</t>
  </si>
  <si>
    <t>시스템 소프트웨어 환경 적응성 (System software environmental adaptability)</t>
  </si>
  <si>
    <t>X = 1 − A/B. A: 새 OS/미들웨어 등 시스템 소프트웨어 환경에서 과업을 완료하지 못한 기능 수, B: 시험한 기능 수</t>
  </si>
  <si>
    <t>PAd-3-S</t>
  </si>
  <si>
    <t>운영 환경 적응성 (Operational environment adaptability)</t>
  </si>
  <si>
    <t>X = 1 − A/B. A: 기타 새로운 운영 환경에서 과업을 완료하지 못한 기능 수, B: 시험한 기능 수</t>
  </si>
  <si>
    <t>PIn-1-G</t>
  </si>
  <si>
    <t>설치 시간 효율성 (Installation time efficiency)</t>
  </si>
  <si>
    <t>X = Σ(Ai/Bi)/n. Ai: 예상 설치 시간, Bi: 실제 설치 시간. 설치 작업별 기대 대비 실적의 평균</t>
  </si>
  <si>
    <t>PIn-2-S</t>
  </si>
  <si>
    <t>설치 용이성 (Ease of installation)</t>
  </si>
  <si>
    <t>X = A/B. A: 사용자 편의에 맞게 커스터마이즈 가능한 설치 절차 수, B: 커스터마이즈가 요구되는 설치 절차 수</t>
  </si>
  <si>
    <t>PRe-1-G</t>
  </si>
  <si>
    <t>사용 유사성 (Usage similarity)</t>
  </si>
  <si>
    <t>X = A/B. A: 추가 학습이나 우회 없이 기존 제품과 유사하게 수행 가능한 기능 수, B: 기존 제품의 대응 기능 수</t>
  </si>
  <si>
    <t>PRe-2-S</t>
  </si>
  <si>
    <t>제품 품질 동등성 (Product quality equivalence)</t>
  </si>
  <si>
    <t>X = A/B. A: 기존 제품과 동등 이상인 품질 측정 지표 수, B: 비교한 품질 측정 지표 수</t>
  </si>
  <si>
    <t>PRe-3-S</t>
  </si>
  <si>
    <t>기능 포괄성 (Functional inclusiveness)</t>
  </si>
  <si>
    <t>X = A/B. A: 기존 제품과 유사한 결과를 산출하는 기능 수, B: 대체 대상 기존 제품의 기능 수</t>
  </si>
  <si>
    <t>PRe-4-S</t>
  </si>
  <si>
    <t>데이터 재사용/가져오기 능력 (Data reusability/import capability)</t>
  </si>
  <si>
    <t>X = A/B. A: 기존 제품 데이터 중 계속 사용(가져오기) 가능한 데이터 수, B: 재사용이 요구되는 기존 제품 데이터 수</t>
  </si>
  <si>
    <t>부특성</t>
  </si>
  <si>
    <t>시간 반응성</t>
  </si>
  <si>
    <t>자원 활용성</t>
  </si>
  <si>
    <t>용량</t>
  </si>
  <si>
    <t>공존성</t>
  </si>
  <si>
    <t>상호운용성</t>
  </si>
  <si>
    <t>적절성 인식성</t>
  </si>
  <si>
    <t>학습성</t>
  </si>
  <si>
    <t>운용성</t>
  </si>
  <si>
    <t>사용자 오류 방지</t>
  </si>
  <si>
    <t>UI 심미성</t>
  </si>
  <si>
    <t>접근성</t>
  </si>
  <si>
    <t>성숙성</t>
  </si>
  <si>
    <t>가용성</t>
  </si>
  <si>
    <t>결함 허용성</t>
  </si>
  <si>
    <t>복구성</t>
  </si>
  <si>
    <t>기밀성</t>
  </si>
  <si>
    <t>무결성</t>
  </si>
  <si>
    <t>부인 방지</t>
  </si>
  <si>
    <t>책임 추적성</t>
  </si>
  <si>
    <t>인증성</t>
  </si>
  <si>
    <t>모듈성</t>
  </si>
  <si>
    <t>재사용성</t>
  </si>
  <si>
    <t>분석성</t>
  </si>
  <si>
    <t>수정성</t>
  </si>
  <si>
    <t>시험성</t>
  </si>
  <si>
    <t>적응성</t>
  </si>
  <si>
    <t>설치성</t>
  </si>
  <si>
    <t>대체성</t>
  </si>
  <si>
    <t>중요도</t>
    <phoneticPr fontId="3" type="noConversion"/>
  </si>
  <si>
    <t>난이도</t>
    <phoneticPr fontId="3" type="noConversion"/>
  </si>
  <si>
    <t>측정방법</t>
    <phoneticPr fontId="3" type="noConversion"/>
  </si>
  <si>
    <t>데이터 항목 수</t>
    <phoneticPr fontId="3" type="noConversion"/>
  </si>
  <si>
    <t>재사용되는 모듈 수</t>
    <phoneticPr fontId="3" type="noConversion"/>
  </si>
  <si>
    <t>결함 패턴 수</t>
    <phoneticPr fontId="3" type="noConversion"/>
  </si>
  <si>
    <t>사용되는 메모리 크기</t>
    <phoneticPr fontId="3" type="noConversion"/>
  </si>
  <si>
    <t>720p, RGB24 기준, AI구간 제외, E2E 평균 시간 ms</t>
  </si>
  <si>
    <t>구체적인 고객, HW제약사항이 정해져 있지 않음으로 정의 불가</t>
    <phoneticPr fontId="3" type="noConversion"/>
  </si>
  <si>
    <t>관련성 없음</t>
    <phoneticPr fontId="3" type="noConversion"/>
  </si>
  <si>
    <t>B가 고객사에 따라 가변적</t>
    <phoneticPr fontId="3" type="noConversion"/>
  </si>
  <si>
    <t>테스트 자동화</t>
    <phoneticPr fontId="3" type="noConversion"/>
  </si>
  <si>
    <t>OS update에 따른 변경 최소화</t>
    <phoneticPr fontId="3" type="noConversion"/>
  </si>
  <si>
    <t>결합도가 낮아야 함</t>
    <phoneticPr fontId="3" type="noConversion"/>
  </si>
  <si>
    <t>HW 변경에 따른 변경 최소화</t>
    <phoneticPr fontId="3" type="noConversion"/>
  </si>
  <si>
    <t>M</t>
    <phoneticPr fontId="3" type="noConversion"/>
  </si>
  <si>
    <t>L</t>
    <phoneticPr fontId="3" type="noConversion"/>
  </si>
  <si>
    <t>성능</t>
    <phoneticPr fontId="3" type="noConversion"/>
  </si>
  <si>
    <t>신뢰성</t>
    <phoneticPr fontId="3" type="noConversion"/>
  </si>
  <si>
    <t>보안성</t>
    <phoneticPr fontId="3" type="noConversion"/>
  </si>
  <si>
    <t>유지보수성</t>
    <phoneticPr fontId="3" type="noConversion"/>
  </si>
  <si>
    <t>이식성</t>
    <phoneticPr fontId="3" type="noConversion"/>
  </si>
  <si>
    <t>품질 속성</t>
    <phoneticPr fontId="3" type="noConversion"/>
  </si>
  <si>
    <t>품질 속성</t>
  </si>
  <si>
    <t>중요도</t>
  </si>
  <si>
    <t>난이도</t>
  </si>
  <si>
    <t>우선순위</t>
  </si>
  <si>
    <t>카메라 영상 입력부터 Host Application 전달 완료까지의 평균 시간(ms)이 목표 시간을 만족해야 한다.</t>
  </si>
  <si>
    <t>H</t>
  </si>
  <si>
    <t>다중 시나리오가 운용 중일 때 사용되는 메모리 사용량을 가능한 낮게 유지해야 한다.</t>
  </si>
  <si>
    <t>결함 테스트에서 시스템에서 Critical 고장이 발생되면 안된다.</t>
  </si>
  <si>
    <t>M</t>
  </si>
  <si>
    <t>도메인 간 전달되는 데이터는 시스템에 의해서 접근 통제되어야 한다.</t>
  </si>
  <si>
    <t>-</t>
  </si>
  <si>
    <t>신규 시나리오 추가 시 전체 자산의 100%가 재사용 가능하도록 설계/구축되어야 한다.</t>
  </si>
  <si>
    <t>SoC 변경에 따라 변경되는 모듈이 없어야 한다.</t>
  </si>
  <si>
    <t>OS update에 따라 변경되는 모듈 수를 최소화하여야 한다.</t>
  </si>
  <si>
    <t>신규 요구사항 추가시 다른 모듈에 영향을 주지 않는 모듈의 비율이 최대가 되어야 한다.</t>
  </si>
  <si>
    <t>성능 (반환 시간)</t>
  </si>
  <si>
    <t>[X &lt;= B. A: 카메라 영상 입력부터 Host 전달 완료까지의 평균 시간(ms)] KPI: 10ms (720p, RGB24, AI 추론 구간 제외)</t>
  </si>
  <si>
    <t>성능 (메모리 사용량)</t>
  </si>
  <si>
    <t>[X = A. A: 다중 시나리오에 사용되는 총 메모리 크기.] KPI: 낮을수록 좋음 (시나리오에 따라 사용량이 다름으로 상대 평가)</t>
  </si>
  <si>
    <t>신뢰성 (고장 회피)</t>
  </si>
  <si>
    <t>[X = A/B. A: 고장으로 이어지지 않은 테스트 수, B: 전체 테스트 수] KPI: 100%</t>
  </si>
  <si>
    <t>보안성 (접근 통제)</t>
  </si>
  <si>
    <t>[X = A/B. A: 접근 통제된 기밀 데이터 항목 수, B: 접근 통제가 요구되는 기밀 데이터 항목 수] KPI: 100%</t>
  </si>
  <si>
    <t>유지보수성 (모듈 결합도)</t>
  </si>
  <si>
    <t>[X = A/B. A: 영향을 주지 않는 모듈 수, B: 전체 모듈 수] KPI: 높을수록 좋음 (상대 평가)</t>
  </si>
  <si>
    <t>유지보수성 (모듈 재사용)</t>
  </si>
  <si>
    <t>[X = A/B. A: 재사용되는 모듈수, B: 전체 모듈수] KPI: 100%</t>
  </si>
  <si>
    <t>이식성 (SOC 변경)</t>
  </si>
  <si>
    <t>[X = A/B. A: 변경되는 모듈 수, B: 전체 모듈 수] KPI: 0%</t>
  </si>
  <si>
    <t>이식성 (OS update)</t>
  </si>
  <si>
    <t>[X = A/B. A: OS update시 변경이 필요한 모듈 수, B: 전체 모듈수] KPI: 낮을수록 좋음 (상대평가)</t>
  </si>
  <si>
    <t>1080p RGB24</t>
    <phoneticPr fontId="3" type="noConversion"/>
  </si>
  <si>
    <t>전체 시간</t>
    <phoneticPr fontId="3" type="noConversion"/>
  </si>
  <si>
    <t>1080p NV12</t>
    <phoneticPr fontId="3" type="noConversion"/>
  </si>
  <si>
    <t>720p RGB24</t>
    <phoneticPr fontId="3" type="noConversion"/>
  </si>
  <si>
    <t>720p NV12</t>
    <phoneticPr fontId="3" type="noConversion"/>
  </si>
  <si>
    <t>프레임 사이즈 (MB)</t>
    <phoneticPr fontId="3" type="noConversion"/>
  </si>
  <si>
    <t>암(복)호화 시간(ms)</t>
    <phoneticPr fontId="3" type="noConversion"/>
  </si>
  <si>
    <t>전송시간(ms)</t>
    <phoneticPr fontId="3" type="noConversion"/>
  </si>
  <si>
    <t>44.48
(ms)</t>
    <phoneticPr fontId="3" type="noConversion"/>
  </si>
  <si>
    <t>5
(km/h)</t>
    <phoneticPr fontId="3" type="noConversion"/>
  </si>
  <si>
    <t>12.22
(cm)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</si>
</sst>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b/>
      <sz val="8"/>
      <color rgb="FF000000"/>
      <name val="Segoe UI"/>
      <family val="2"/>
    </font>
    <font>
      <sz val="8"/>
      <color rgb="FF000000"/>
      <name val="Segoe UI"/>
      <family val="2"/>
    </font>
    <font>
      <sz val="8"/>
      <name val="맑은 고딕"/>
      <family val="2"/>
      <charset val="129"/>
      <scheme val="minor"/>
    </font>
    <font>
      <sz val="8"/>
      <color rgb="FF000000"/>
      <name val="맑은 고딕"/>
      <family val="3"/>
      <charset val="129"/>
    </font>
    <font>
      <sz val="8"/>
      <color rgb="FF000000"/>
      <name val="Segoe UI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Segoe UI"/>
      <family val="3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3"/>
      <charset val="129"/>
    </font>
    <font>
      <b/>
      <sz val="10"/>
      <color theme="1"/>
      <name val="Google Sans Text"/>
      <family val="3"/>
      <charset val="129"/>
    </font>
    <font>
      <b/>
      <sz val="12"/>
      <color rgb="FF000000"/>
      <name val="Segoe UI"/>
      <family val="2"/>
    </font>
    <font>
      <sz val="12"/>
      <color rgb="FF333333"/>
      <name val="Segoe UI"/>
      <family val="2"/>
    </font>
    <font>
      <sz val="12"/>
      <color rgb="FF333333"/>
      <name val="맑은 고딕"/>
      <family val="2"/>
      <charset val="129"/>
    </font>
    <font>
      <sz val="12"/>
      <color rgb="FF333333"/>
      <name val="맑은 고딕"/>
      <family val="3"/>
      <charset val="129"/>
    </font>
    <font>
      <sz val="12"/>
      <color rgb="FF333333"/>
      <name val="Segoe UI"/>
      <family val="3"/>
    </font>
    <font>
      <sz val="12"/>
      <color rgb="FF333333"/>
      <name val="Segoe UI"/>
      <family val="3"/>
      <charset val="129"/>
    </font>
    <font>
      <b/>
      <sz val="12"/>
      <color rgb="FF000000"/>
      <name val="맑은 고딕"/>
      <family val="3"/>
      <charset val="129"/>
    </font>
    <font>
      <b/>
      <sz val="12"/>
      <color rgb="FF000000"/>
      <name val="Segoe UI"/>
      <family val="3"/>
    </font>
    <font>
      <b/>
      <sz val="12"/>
      <color rgb="FF000000"/>
      <name val="Segoe UI"/>
      <family val="3"/>
      <charset val="129"/>
    </font>
    <font>
      <sz val="8"/>
      <color rgb="FF000000"/>
      <name val="Segoe UI"/>
      <family val="2"/>
      <charset val="129"/>
    </font>
    <font>
      <sz val="13.75"/>
      <color rgb="FF000000"/>
      <name val="Segoe UI"/>
      <family val="2"/>
    </font>
    <font>
      <b/>
      <sz val="12"/>
      <color theme="1"/>
      <name val="맑은 고딕"/>
      <family val="2"/>
      <charset val="129"/>
      <scheme val="minor"/>
    </font>
    <font>
      <b/>
      <sz val="12"/>
      <color rgb="FF333333"/>
      <name val="Segoe UI"/>
      <family val="2"/>
    </font>
    <font>
      <b/>
      <sz val="12"/>
      <color rgb="FF333333"/>
      <name val="맑은 고딕"/>
      <family val="2"/>
      <charset val="129"/>
    </font>
    <font>
      <b/>
      <sz val="12"/>
      <color indexed="81"/>
      <name val="Tahoma"/>
      <family val="2"/>
    </font>
    <font>
      <sz val="12"/>
      <color indexed="81"/>
      <name val="Tahoma"/>
      <family val="2"/>
    </font>
    <font>
      <sz val="12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 style="medium">
        <color rgb="FFD6D6D6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6D6D6"/>
      </left>
      <right style="medium">
        <color rgb="FFD6D6D6"/>
      </right>
      <top/>
      <bottom/>
      <diagonal/>
    </border>
    <border>
      <left style="medium">
        <color rgb="FFD6D6D6"/>
      </left>
      <right style="medium">
        <color rgb="FFD6D6D6"/>
      </right>
      <top style="medium">
        <color rgb="FFD6D6D6"/>
      </top>
      <bottom/>
      <diagonal/>
    </border>
    <border>
      <left style="medium">
        <color rgb="FFD6D6D6"/>
      </left>
      <right style="medium">
        <color rgb="FFD6D6D6"/>
      </right>
      <top/>
      <bottom style="medium">
        <color rgb="FFD6D6D6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quotePrefix="1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10" fillId="0" borderId="2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2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vertical="center" wrapText="1"/>
    </xf>
    <xf numFmtId="0" fontId="18" fillId="2" borderId="4" xfId="0" applyFont="1" applyFill="1" applyBorder="1" applyAlignment="1">
      <alignment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0" fillId="3" borderId="0" xfId="0" applyFill="1">
      <alignment vertical="center"/>
    </xf>
    <xf numFmtId="0" fontId="24" fillId="0" borderId="0" xfId="0" applyFont="1" applyAlignment="1">
      <alignment vertical="center" shrinkToFit="1"/>
    </xf>
    <xf numFmtId="0" fontId="13" fillId="0" borderId="0" xfId="0" applyFont="1" applyAlignment="1">
      <alignment vertical="center" shrinkToFit="1"/>
    </xf>
    <xf numFmtId="0" fontId="25" fillId="2" borderId="4" xfId="0" applyFont="1" applyFill="1" applyBorder="1" applyAlignment="1">
      <alignment vertical="center" shrinkToFit="1"/>
    </xf>
    <xf numFmtId="0" fontId="13" fillId="3" borderId="0" xfId="0" applyFont="1" applyFill="1" applyAlignment="1">
      <alignment vertical="center" shrinkToFit="1"/>
    </xf>
    <xf numFmtId="0" fontId="25" fillId="3" borderId="4" xfId="0" applyFont="1" applyFill="1" applyBorder="1" applyAlignment="1">
      <alignment vertical="center" shrinkToFit="1"/>
    </xf>
    <xf numFmtId="0" fontId="24" fillId="3" borderId="0" xfId="0" applyFont="1" applyFill="1" applyAlignment="1">
      <alignment vertical="center" shrinkToFit="1"/>
    </xf>
    <xf numFmtId="0" fontId="25" fillId="0" borderId="8" xfId="0" applyFont="1" applyBorder="1" applyAlignment="1">
      <alignment vertical="center" shrinkToFit="1"/>
    </xf>
    <xf numFmtId="0" fontId="0" fillId="0" borderId="1" xfId="0" applyBorder="1">
      <alignment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14" fillId="3" borderId="1" xfId="0" applyFont="1" applyFill="1" applyBorder="1" applyAlignment="1">
      <alignment vertical="center" wrapText="1"/>
    </xf>
    <xf numFmtId="0" fontId="0" fillId="4" borderId="1" xfId="0" applyFill="1" applyBorder="1">
      <alignment vertical="center"/>
    </xf>
    <xf numFmtId="0" fontId="23" fillId="4" borderId="1" xfId="0" applyFont="1" applyFill="1" applyBorder="1" applyAlignment="1">
      <alignment vertical="center" wrapText="1"/>
    </xf>
    <xf numFmtId="0" fontId="0" fillId="4" borderId="0" xfId="0" applyFill="1">
      <alignment vertical="center"/>
    </xf>
    <xf numFmtId="0" fontId="0" fillId="5" borderId="1" xfId="0" applyFill="1" applyBorder="1">
      <alignment vertical="center"/>
    </xf>
    <xf numFmtId="0" fontId="14" fillId="5" borderId="1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0" fillId="6" borderId="1" xfId="0" applyFill="1" applyBorder="1">
      <alignment vertical="center"/>
    </xf>
    <xf numFmtId="0" fontId="14" fillId="6" borderId="1" xfId="0" applyFont="1" applyFill="1" applyBorder="1" applyAlignment="1">
      <alignment vertical="center" wrapText="1"/>
    </xf>
    <xf numFmtId="0" fontId="0" fillId="6" borderId="0" xfId="0" applyFill="1">
      <alignment vertical="center"/>
    </xf>
    <xf numFmtId="0" fontId="14" fillId="2" borderId="9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vertical="center" wrapText="1"/>
    </xf>
    <xf numFmtId="0" fontId="14" fillId="2" borderId="10" xfId="0" applyFont="1" applyFill="1" applyBorder="1" applyAlignment="1">
      <alignment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4CBF-2B00-47DE-B890-6C9CADE53CC2}">
  <dimension ref="A1:C5"/>
  <sheetViews>
    <sheetView workbookViewId="0">
      <selection activeCell="B17" sqref="B17"/>
    </sheetView>
  </sheetViews>
  <sheetFormatPr defaultRowHeight="16.5"/>
  <cols>
    <col min="2" max="3" width="22.625" customWidth="1"/>
  </cols>
  <sheetData>
    <row r="1" spans="1:3">
      <c r="A1" t="s">
        <v>92</v>
      </c>
      <c r="B1" t="s">
        <v>93</v>
      </c>
      <c r="C1" t="s">
        <v>94</v>
      </c>
    </row>
    <row r="2" spans="1:3">
      <c r="A2" s="6">
        <v>2021</v>
      </c>
      <c r="B2" t="s">
        <v>95</v>
      </c>
      <c r="C2" t="s">
        <v>96</v>
      </c>
    </row>
    <row r="3" spans="1:3">
      <c r="A3">
        <v>2022</v>
      </c>
      <c r="B3" t="s">
        <v>97</v>
      </c>
      <c r="C3" t="s">
        <v>98</v>
      </c>
    </row>
    <row r="4" spans="1:3">
      <c r="A4">
        <v>2024</v>
      </c>
      <c r="B4" t="s">
        <v>99</v>
      </c>
      <c r="C4" t="s">
        <v>100</v>
      </c>
    </row>
    <row r="5" spans="1:3">
      <c r="A5">
        <v>2025</v>
      </c>
      <c r="B5" t="s">
        <v>101</v>
      </c>
      <c r="C5" t="s">
        <v>102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930AF-9269-4D83-9B82-D3D07D029F13}">
  <dimension ref="A1:C9"/>
  <sheetViews>
    <sheetView workbookViewId="0">
      <selection activeCell="L20" sqref="L20"/>
    </sheetView>
  </sheetViews>
  <sheetFormatPr defaultRowHeight="16.5"/>
  <cols>
    <col min="1" max="1" width="16.25" bestFit="1" customWidth="1"/>
    <col min="2" max="2" width="4.25" bestFit="1" customWidth="1"/>
    <col min="3" max="3" width="48.75" bestFit="1" customWidth="1"/>
  </cols>
  <sheetData>
    <row r="1" spans="1:3">
      <c r="A1" s="3" t="s">
        <v>22</v>
      </c>
      <c r="B1" s="3" t="s">
        <v>46</v>
      </c>
      <c r="C1" s="3" t="s">
        <v>47</v>
      </c>
    </row>
    <row r="2" spans="1:3">
      <c r="A2" s="4" t="s">
        <v>30</v>
      </c>
      <c r="B2" s="4" t="s">
        <v>48</v>
      </c>
      <c r="C2" s="4" t="s">
        <v>49</v>
      </c>
    </row>
    <row r="3" spans="1:3">
      <c r="A3" s="4" t="s">
        <v>31</v>
      </c>
      <c r="B3" s="4" t="s">
        <v>48</v>
      </c>
      <c r="C3" s="4" t="s">
        <v>50</v>
      </c>
    </row>
    <row r="4" spans="1:3">
      <c r="A4" s="4" t="s">
        <v>36</v>
      </c>
      <c r="B4" s="4" t="s">
        <v>48</v>
      </c>
      <c r="C4" s="4" t="s">
        <v>51</v>
      </c>
    </row>
    <row r="5" spans="1:3">
      <c r="A5" s="4" t="s">
        <v>42</v>
      </c>
      <c r="B5" s="4" t="s">
        <v>48</v>
      </c>
      <c r="C5" s="4" t="s">
        <v>52</v>
      </c>
    </row>
    <row r="6" spans="1:3">
      <c r="A6" s="4" t="s">
        <v>33</v>
      </c>
      <c r="B6" s="4" t="s">
        <v>48</v>
      </c>
      <c r="C6" s="4" t="s">
        <v>53</v>
      </c>
    </row>
    <row r="7" spans="1:3">
      <c r="A7" s="4" t="s">
        <v>24</v>
      </c>
      <c r="B7" s="4" t="s">
        <v>54</v>
      </c>
      <c r="C7" s="4" t="s">
        <v>55</v>
      </c>
    </row>
    <row r="8" spans="1:3">
      <c r="A8" s="4" t="s">
        <v>44</v>
      </c>
      <c r="B8" s="4" t="s">
        <v>54</v>
      </c>
      <c r="C8" s="4" t="s">
        <v>56</v>
      </c>
    </row>
    <row r="9" spans="1:3">
      <c r="A9" s="4" t="s">
        <v>28</v>
      </c>
      <c r="B9" s="4" t="s">
        <v>48</v>
      </c>
      <c r="C9" s="4" t="s">
        <v>57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9DFAC-72A6-4108-9E56-15AF596EC46D}">
  <dimension ref="A1:C17"/>
  <sheetViews>
    <sheetView workbookViewId="0">
      <selection sqref="A1:C17"/>
    </sheetView>
  </sheetViews>
  <sheetFormatPr defaultRowHeight="16.5"/>
  <cols>
    <col min="2" max="2" width="30" bestFit="1" customWidth="1"/>
    <col min="3" max="3" width="57.25" customWidth="1"/>
  </cols>
  <sheetData>
    <row r="1" spans="1:3">
      <c r="A1" s="3" t="s">
        <v>4</v>
      </c>
      <c r="B1" s="3" t="s">
        <v>22</v>
      </c>
      <c r="C1" s="3" t="s">
        <v>58</v>
      </c>
    </row>
    <row r="2" spans="1:3">
      <c r="A2" s="4" t="s">
        <v>23</v>
      </c>
      <c r="B2" s="4" t="s">
        <v>24</v>
      </c>
      <c r="C2" s="4" t="s">
        <v>59</v>
      </c>
    </row>
    <row r="3" spans="1:3">
      <c r="A3" s="4" t="s">
        <v>25</v>
      </c>
      <c r="B3" s="4" t="s">
        <v>24</v>
      </c>
      <c r="C3" s="4" t="s">
        <v>60</v>
      </c>
    </row>
    <row r="4" spans="1:3">
      <c r="A4" s="4" t="s">
        <v>26</v>
      </c>
      <c r="B4" s="4" t="s">
        <v>24</v>
      </c>
      <c r="C4" s="4" t="s">
        <v>61</v>
      </c>
    </row>
    <row r="5" spans="1:3">
      <c r="A5" s="4" t="s">
        <v>27</v>
      </c>
      <c r="B5" s="4" t="s">
        <v>24</v>
      </c>
      <c r="C5" s="4" t="s">
        <v>62</v>
      </c>
    </row>
    <row r="6" spans="1:3">
      <c r="A6" s="4" t="s">
        <v>17</v>
      </c>
      <c r="B6" s="4" t="s">
        <v>28</v>
      </c>
      <c r="C6" s="4" t="s">
        <v>63</v>
      </c>
    </row>
    <row r="7" spans="1:3">
      <c r="A7" s="4" t="s">
        <v>29</v>
      </c>
      <c r="B7" s="4" t="s">
        <v>30</v>
      </c>
      <c r="C7" s="4" t="s">
        <v>183</v>
      </c>
    </row>
    <row r="8" spans="1:3">
      <c r="A8" s="4" t="s">
        <v>11</v>
      </c>
      <c r="B8" s="4" t="s">
        <v>31</v>
      </c>
      <c r="C8" s="4" t="s">
        <v>64</v>
      </c>
    </row>
    <row r="9" spans="1:3">
      <c r="A9" s="4" t="s">
        <v>32</v>
      </c>
      <c r="B9" s="4" t="s">
        <v>33</v>
      </c>
      <c r="C9" s="4" t="s">
        <v>65</v>
      </c>
    </row>
    <row r="10" spans="1:3">
      <c r="A10" s="4" t="s">
        <v>34</v>
      </c>
      <c r="B10" s="4" t="s">
        <v>31</v>
      </c>
      <c r="C10" s="4" t="s">
        <v>66</v>
      </c>
    </row>
    <row r="11" spans="1:3">
      <c r="A11" s="4" t="s">
        <v>35</v>
      </c>
      <c r="B11" s="4" t="s">
        <v>36</v>
      </c>
      <c r="C11" s="4" t="s">
        <v>184</v>
      </c>
    </row>
    <row r="12" spans="1:3">
      <c r="A12" s="4" t="s">
        <v>37</v>
      </c>
      <c r="B12" s="4" t="s">
        <v>38</v>
      </c>
      <c r="C12" s="4" t="s">
        <v>67</v>
      </c>
    </row>
    <row r="13" spans="1:3">
      <c r="A13" s="4" t="s">
        <v>39</v>
      </c>
      <c r="B13" s="4" t="s">
        <v>40</v>
      </c>
      <c r="C13" s="4" t="s">
        <v>68</v>
      </c>
    </row>
    <row r="14" spans="1:3">
      <c r="A14" s="4" t="s">
        <v>41</v>
      </c>
      <c r="B14" s="4" t="s">
        <v>42</v>
      </c>
      <c r="C14" s="4" t="s">
        <v>69</v>
      </c>
    </row>
    <row r="15" spans="1:3">
      <c r="A15" s="4" t="s">
        <v>43</v>
      </c>
      <c r="B15" s="4" t="s">
        <v>44</v>
      </c>
      <c r="C15" s="4" t="s">
        <v>70</v>
      </c>
    </row>
    <row r="16" spans="1:3">
      <c r="A16" s="4" t="s">
        <v>45</v>
      </c>
      <c r="B16" s="4" t="s">
        <v>28</v>
      </c>
      <c r="C16" s="4" t="s">
        <v>71</v>
      </c>
    </row>
    <row r="17" spans="1:3">
      <c r="A17" s="4" t="s">
        <v>21</v>
      </c>
      <c r="B17" s="4" t="s">
        <v>31</v>
      </c>
      <c r="C17" s="4" t="s">
        <v>72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87A4-FDD5-45A6-8352-744BFCAE912E}">
  <dimension ref="A1:C16"/>
  <sheetViews>
    <sheetView zoomScale="190" zoomScaleNormal="190" workbookViewId="0">
      <selection activeCell="C8" sqref="C8"/>
    </sheetView>
  </sheetViews>
  <sheetFormatPr defaultRowHeight="16.5"/>
  <cols>
    <col min="2" max="2" width="26.875" customWidth="1"/>
    <col min="3" max="3" width="69" customWidth="1"/>
  </cols>
  <sheetData>
    <row r="1" spans="1:3">
      <c r="A1" s="1" t="s">
        <v>73</v>
      </c>
      <c r="B1" s="1" t="s">
        <v>74</v>
      </c>
      <c r="C1" s="1" t="s">
        <v>6</v>
      </c>
    </row>
    <row r="2" spans="1:3">
      <c r="A2" s="2" t="s">
        <v>8</v>
      </c>
      <c r="B2" s="2" t="s">
        <v>75</v>
      </c>
      <c r="C2" s="2" t="s">
        <v>76</v>
      </c>
    </row>
    <row r="3" spans="1:3">
      <c r="A3" s="2" t="s">
        <v>12</v>
      </c>
      <c r="B3" s="2" t="s">
        <v>10</v>
      </c>
      <c r="C3" s="2" t="s">
        <v>77</v>
      </c>
    </row>
    <row r="4" spans="1:3">
      <c r="A4" s="2" t="s">
        <v>171</v>
      </c>
      <c r="B4" s="2" t="s">
        <v>79</v>
      </c>
      <c r="C4" s="21" t="s">
        <v>169</v>
      </c>
    </row>
    <row r="5" spans="1:3">
      <c r="A5" s="2" t="s">
        <v>172</v>
      </c>
      <c r="B5" s="2" t="s">
        <v>14</v>
      </c>
      <c r="C5" s="2" t="s">
        <v>170</v>
      </c>
    </row>
    <row r="6" spans="1:3">
      <c r="A6" s="2" t="s">
        <v>173</v>
      </c>
      <c r="B6" s="5" t="s">
        <v>174</v>
      </c>
      <c r="C6" s="2" t="s">
        <v>175</v>
      </c>
    </row>
    <row r="7" spans="1:3">
      <c r="A7" s="2" t="s">
        <v>20</v>
      </c>
      <c r="B7" s="2" t="s">
        <v>19</v>
      </c>
      <c r="C7" s="2" t="s">
        <v>85</v>
      </c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DB4C-3518-4E9E-B674-29F56CE3873D}">
  <dimension ref="A1:C7"/>
  <sheetViews>
    <sheetView zoomScale="160" zoomScaleNormal="160" workbookViewId="0"/>
  </sheetViews>
  <sheetFormatPr defaultRowHeight="16.5"/>
  <cols>
    <col min="2" max="2" width="21" bestFit="1" customWidth="1"/>
    <col min="3" max="3" width="73.25" bestFit="1" customWidth="1"/>
  </cols>
  <sheetData>
    <row r="1" spans="1:3">
      <c r="A1" s="1" t="s">
        <v>4</v>
      </c>
      <c r="B1" s="1" t="s">
        <v>5</v>
      </c>
      <c r="C1" s="1" t="s">
        <v>6</v>
      </c>
    </row>
    <row r="2" spans="1:3">
      <c r="A2" s="2" t="s">
        <v>7</v>
      </c>
      <c r="B2" s="2" t="s">
        <v>75</v>
      </c>
      <c r="C2" s="2" t="s">
        <v>80</v>
      </c>
    </row>
    <row r="3" spans="1:3">
      <c r="A3" s="2" t="s">
        <v>9</v>
      </c>
      <c r="B3" s="2" t="s">
        <v>10</v>
      </c>
      <c r="C3" s="2" t="s">
        <v>81</v>
      </c>
    </row>
    <row r="4" spans="1:3">
      <c r="A4" s="2" t="s">
        <v>176</v>
      </c>
      <c r="B4" s="2" t="s">
        <v>79</v>
      </c>
      <c r="C4" s="2" t="s">
        <v>179</v>
      </c>
    </row>
    <row r="5" spans="1:3">
      <c r="A5" s="2" t="s">
        <v>177</v>
      </c>
      <c r="B5" s="2" t="s">
        <v>14</v>
      </c>
      <c r="C5" s="2" t="s">
        <v>180</v>
      </c>
    </row>
    <row r="6" spans="1:3">
      <c r="A6" s="2" t="s">
        <v>178</v>
      </c>
      <c r="B6" s="2" t="s">
        <v>78</v>
      </c>
      <c r="C6" s="2" t="s">
        <v>181</v>
      </c>
    </row>
    <row r="7" spans="1:3">
      <c r="A7" s="2" t="s">
        <v>18</v>
      </c>
      <c r="B7" s="2" t="s">
        <v>86</v>
      </c>
      <c r="C7" s="2" t="s">
        <v>182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AE17-5A65-4395-BC12-CB2558163A43}">
  <dimension ref="A1:D3"/>
  <sheetViews>
    <sheetView zoomScale="160" zoomScaleNormal="160" workbookViewId="0">
      <selection activeCell="C3" sqref="C3"/>
    </sheetView>
  </sheetViews>
  <sheetFormatPr defaultRowHeight="16.5"/>
  <cols>
    <col min="2" max="2" width="14.25" customWidth="1"/>
    <col min="3" max="3" width="54.5" bestFit="1" customWidth="1"/>
  </cols>
  <sheetData>
    <row r="1" spans="1:4">
      <c r="A1" s="1" t="s">
        <v>4</v>
      </c>
      <c r="B1" s="1" t="s">
        <v>82</v>
      </c>
      <c r="C1" s="1" t="s">
        <v>6</v>
      </c>
      <c r="D1" s="1"/>
    </row>
    <row r="2" spans="1:4">
      <c r="A2" s="2" t="s">
        <v>88</v>
      </c>
      <c r="B2" s="2" t="s">
        <v>83</v>
      </c>
      <c r="C2" s="2" t="s">
        <v>84</v>
      </c>
      <c r="D2" s="2"/>
    </row>
    <row r="3" spans="1:4">
      <c r="A3" s="2" t="s">
        <v>89</v>
      </c>
      <c r="B3" s="2" t="s">
        <v>103</v>
      </c>
      <c r="C3" s="7" t="s">
        <v>104</v>
      </c>
      <c r="D3" s="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A8966-D248-40C5-810D-CDD92F7EB876}">
  <dimension ref="A1:E32"/>
  <sheetViews>
    <sheetView topLeftCell="A9" zoomScale="85" zoomScaleNormal="85" workbookViewId="0">
      <selection activeCell="G21" sqref="G21"/>
    </sheetView>
  </sheetViews>
  <sheetFormatPr defaultRowHeight="16.5"/>
  <cols>
    <col min="1" max="1" width="27.5" customWidth="1"/>
    <col min="2" max="2" width="101" customWidth="1"/>
    <col min="3" max="5" width="9.25" customWidth="1"/>
  </cols>
  <sheetData>
    <row r="1" spans="1:5" s="39" customFormat="1" ht="18" thickBot="1">
      <c r="A1" s="15" t="s">
        <v>563</v>
      </c>
      <c r="B1" s="15" t="s">
        <v>6</v>
      </c>
      <c r="C1" s="15" t="s">
        <v>564</v>
      </c>
      <c r="D1" s="15" t="s">
        <v>565</v>
      </c>
      <c r="E1" s="15" t="s">
        <v>566</v>
      </c>
    </row>
    <row r="2" spans="1:5" ht="17.25">
      <c r="A2" s="48" t="s">
        <v>578</v>
      </c>
      <c r="B2" s="46" t="s">
        <v>567</v>
      </c>
      <c r="C2" s="50" t="s">
        <v>568</v>
      </c>
      <c r="D2" s="50" t="s">
        <v>568</v>
      </c>
      <c r="E2" s="50">
        <v>1</v>
      </c>
    </row>
    <row r="3" spans="1:5" ht="18" thickBot="1">
      <c r="A3" s="49"/>
      <c r="B3" s="47" t="s">
        <v>579</v>
      </c>
      <c r="C3" s="51"/>
      <c r="D3" s="51"/>
      <c r="E3" s="51"/>
    </row>
    <row r="4" spans="1:5" ht="17.25">
      <c r="A4" s="48" t="s">
        <v>580</v>
      </c>
      <c r="B4" s="46" t="s">
        <v>569</v>
      </c>
      <c r="C4" s="50" t="s">
        <v>568</v>
      </c>
      <c r="D4" s="50" t="s">
        <v>568</v>
      </c>
      <c r="E4" s="50">
        <v>2</v>
      </c>
    </row>
    <row r="5" spans="1:5" ht="35.25" thickBot="1">
      <c r="A5" s="49"/>
      <c r="B5" s="47" t="s">
        <v>581</v>
      </c>
      <c r="C5" s="51"/>
      <c r="D5" s="51"/>
      <c r="E5" s="51"/>
    </row>
    <row r="6" spans="1:5" ht="17.25">
      <c r="A6" s="48" t="s">
        <v>582</v>
      </c>
      <c r="B6" s="46" t="s">
        <v>570</v>
      </c>
      <c r="C6" s="50" t="s">
        <v>568</v>
      </c>
      <c r="D6" s="50" t="s">
        <v>571</v>
      </c>
      <c r="E6" s="50">
        <v>5</v>
      </c>
    </row>
    <row r="7" spans="1:5" ht="18" thickBot="1">
      <c r="A7" s="49"/>
      <c r="B7" s="47" t="s">
        <v>583</v>
      </c>
      <c r="C7" s="51"/>
      <c r="D7" s="51"/>
      <c r="E7" s="51"/>
    </row>
    <row r="8" spans="1:5" ht="17.25">
      <c r="A8" s="48" t="s">
        <v>584</v>
      </c>
      <c r="B8" s="46" t="s">
        <v>572</v>
      </c>
      <c r="C8" s="50" t="s">
        <v>568</v>
      </c>
      <c r="D8" s="50" t="s">
        <v>571</v>
      </c>
      <c r="E8" s="50">
        <v>3</v>
      </c>
    </row>
    <row r="9" spans="1:5" ht="18" thickBot="1">
      <c r="A9" s="49"/>
      <c r="B9" s="47" t="s">
        <v>585</v>
      </c>
      <c r="C9" s="51"/>
      <c r="D9" s="51"/>
      <c r="E9" s="51"/>
    </row>
    <row r="10" spans="1:5" ht="17.25">
      <c r="A10" s="48" t="s">
        <v>586</v>
      </c>
      <c r="B10" s="46" t="s">
        <v>577</v>
      </c>
      <c r="C10" s="50" t="s">
        <v>571</v>
      </c>
      <c r="D10" s="50" t="s">
        <v>571</v>
      </c>
      <c r="E10" s="50" t="s">
        <v>573</v>
      </c>
    </row>
    <row r="11" spans="1:5" ht="18" thickBot="1">
      <c r="A11" s="49"/>
      <c r="B11" s="47" t="s">
        <v>587</v>
      </c>
      <c r="C11" s="51"/>
      <c r="D11" s="51"/>
      <c r="E11" s="51"/>
    </row>
    <row r="12" spans="1:5" ht="17.25">
      <c r="A12" s="48" t="s">
        <v>588</v>
      </c>
      <c r="B12" s="46" t="s">
        <v>574</v>
      </c>
      <c r="C12" s="50" t="s">
        <v>568</v>
      </c>
      <c r="D12" s="50" t="s">
        <v>571</v>
      </c>
      <c r="E12" s="50">
        <v>4</v>
      </c>
    </row>
    <row r="13" spans="1:5" ht="18" thickBot="1">
      <c r="A13" s="49"/>
      <c r="B13" s="47" t="s">
        <v>589</v>
      </c>
      <c r="C13" s="51"/>
      <c r="D13" s="51"/>
      <c r="E13" s="51"/>
    </row>
    <row r="14" spans="1:5" ht="17.25">
      <c r="A14" s="48" t="s">
        <v>590</v>
      </c>
      <c r="B14" s="46" t="s">
        <v>575</v>
      </c>
      <c r="C14" s="50" t="s">
        <v>571</v>
      </c>
      <c r="D14" s="50" t="s">
        <v>571</v>
      </c>
      <c r="E14" s="50" t="s">
        <v>573</v>
      </c>
    </row>
    <row r="15" spans="1:5" ht="18" thickBot="1">
      <c r="A15" s="49"/>
      <c r="B15" s="47" t="s">
        <v>591</v>
      </c>
      <c r="C15" s="51"/>
      <c r="D15" s="51"/>
      <c r="E15" s="51"/>
    </row>
    <row r="16" spans="1:5" ht="17.25">
      <c r="A16" s="48" t="s">
        <v>592</v>
      </c>
      <c r="B16" s="46" t="s">
        <v>576</v>
      </c>
      <c r="C16" s="50" t="s">
        <v>571</v>
      </c>
      <c r="D16" s="50" t="s">
        <v>571</v>
      </c>
      <c r="E16" s="50" t="s">
        <v>573</v>
      </c>
    </row>
    <row r="17" spans="1:5" ht="18" thickBot="1">
      <c r="A17" s="49"/>
      <c r="B17" s="47" t="s">
        <v>593</v>
      </c>
      <c r="C17" s="51"/>
      <c r="D17" s="51"/>
      <c r="E17" s="51"/>
    </row>
    <row r="21" spans="1:5" ht="17.25" thickBot="1"/>
    <row r="22" spans="1:5" ht="18" thickBot="1">
      <c r="A22" s="15" t="s">
        <v>563</v>
      </c>
      <c r="B22" s="15" t="s">
        <v>6</v>
      </c>
      <c r="C22" s="15" t="s">
        <v>564</v>
      </c>
      <c r="D22" s="15" t="s">
        <v>565</v>
      </c>
      <c r="E22" s="15" t="s">
        <v>566</v>
      </c>
    </row>
    <row r="23" spans="1:5" ht="17.25">
      <c r="A23" s="48" t="s">
        <v>578</v>
      </c>
      <c r="B23" s="46" t="s">
        <v>567</v>
      </c>
      <c r="C23" s="50" t="s">
        <v>568</v>
      </c>
      <c r="D23" s="50" t="s">
        <v>568</v>
      </c>
      <c r="E23" s="50">
        <v>1</v>
      </c>
    </row>
    <row r="24" spans="1:5" ht="18" thickBot="1">
      <c r="A24" s="49"/>
      <c r="B24" s="47" t="s">
        <v>579</v>
      </c>
      <c r="C24" s="51"/>
      <c r="D24" s="51"/>
      <c r="E24" s="51"/>
    </row>
    <row r="25" spans="1:5" ht="17.25">
      <c r="A25" s="48" t="s">
        <v>580</v>
      </c>
      <c r="B25" s="46" t="s">
        <v>569</v>
      </c>
      <c r="C25" s="50" t="s">
        <v>568</v>
      </c>
      <c r="D25" s="50" t="s">
        <v>568</v>
      </c>
      <c r="E25" s="50">
        <v>2</v>
      </c>
    </row>
    <row r="26" spans="1:5" ht="35.25" thickBot="1">
      <c r="A26" s="49"/>
      <c r="B26" s="47" t="s">
        <v>581</v>
      </c>
      <c r="C26" s="51"/>
      <c r="D26" s="51"/>
      <c r="E26" s="51"/>
    </row>
    <row r="27" spans="1:5" ht="17.25">
      <c r="A27" s="48" t="s">
        <v>584</v>
      </c>
      <c r="B27" s="46" t="s">
        <v>572</v>
      </c>
      <c r="C27" s="50" t="s">
        <v>568</v>
      </c>
      <c r="D27" s="50" t="s">
        <v>571</v>
      </c>
      <c r="E27" s="50">
        <v>3</v>
      </c>
    </row>
    <row r="28" spans="1:5" ht="18" thickBot="1">
      <c r="A28" s="49"/>
      <c r="B28" s="47" t="s">
        <v>585</v>
      </c>
      <c r="C28" s="51"/>
      <c r="D28" s="51"/>
      <c r="E28" s="51"/>
    </row>
    <row r="29" spans="1:5" ht="17.25">
      <c r="A29" s="48" t="s">
        <v>588</v>
      </c>
      <c r="B29" s="46" t="s">
        <v>574</v>
      </c>
      <c r="C29" s="50" t="s">
        <v>568</v>
      </c>
      <c r="D29" s="50" t="s">
        <v>571</v>
      </c>
      <c r="E29" s="50">
        <v>4</v>
      </c>
    </row>
    <row r="30" spans="1:5" ht="18" thickBot="1">
      <c r="A30" s="49"/>
      <c r="B30" s="47" t="s">
        <v>589</v>
      </c>
      <c r="C30" s="51"/>
      <c r="D30" s="51"/>
      <c r="E30" s="51"/>
    </row>
    <row r="31" spans="1:5" ht="17.25">
      <c r="A31" s="48" t="s">
        <v>582</v>
      </c>
      <c r="B31" s="46" t="s">
        <v>570</v>
      </c>
      <c r="C31" s="50" t="s">
        <v>568</v>
      </c>
      <c r="D31" s="50" t="s">
        <v>571</v>
      </c>
      <c r="E31" s="50">
        <v>5</v>
      </c>
    </row>
    <row r="32" spans="1:5" ht="18" thickBot="1">
      <c r="A32" s="49"/>
      <c r="B32" s="47" t="s">
        <v>583</v>
      </c>
      <c r="C32" s="51"/>
      <c r="D32" s="51"/>
      <c r="E32" s="51"/>
    </row>
  </sheetData>
  <mergeCells count="52">
    <mergeCell ref="A2:A3"/>
    <mergeCell ref="C2:C3"/>
    <mergeCell ref="D2:D3"/>
    <mergeCell ref="E2:E3"/>
    <mergeCell ref="A4:A5"/>
    <mergeCell ref="C4:C5"/>
    <mergeCell ref="D4:D5"/>
    <mergeCell ref="E4:E5"/>
    <mergeCell ref="A6:A7"/>
    <mergeCell ref="C6:C7"/>
    <mergeCell ref="D6:D7"/>
    <mergeCell ref="E6:E7"/>
    <mergeCell ref="A8:A9"/>
    <mergeCell ref="C8:C9"/>
    <mergeCell ref="D8:D9"/>
    <mergeCell ref="E8:E9"/>
    <mergeCell ref="A10:A11"/>
    <mergeCell ref="C10:C11"/>
    <mergeCell ref="D10:D11"/>
    <mergeCell ref="E10:E11"/>
    <mergeCell ref="A12:A13"/>
    <mergeCell ref="C12:C13"/>
    <mergeCell ref="D12:D13"/>
    <mergeCell ref="E12:E13"/>
    <mergeCell ref="A14:A15"/>
    <mergeCell ref="C14:C15"/>
    <mergeCell ref="D14:D15"/>
    <mergeCell ref="E14:E15"/>
    <mergeCell ref="A16:A17"/>
    <mergeCell ref="C16:C17"/>
    <mergeCell ref="D16:D17"/>
    <mergeCell ref="E16:E17"/>
    <mergeCell ref="A27:A28"/>
    <mergeCell ref="C27:C28"/>
    <mergeCell ref="D27:D28"/>
    <mergeCell ref="E27:E28"/>
    <mergeCell ref="A23:A24"/>
    <mergeCell ref="C23:C24"/>
    <mergeCell ref="D23:D24"/>
    <mergeCell ref="E23:E24"/>
    <mergeCell ref="A25:A26"/>
    <mergeCell ref="C25:C26"/>
    <mergeCell ref="D25:D26"/>
    <mergeCell ref="E25:E26"/>
    <mergeCell ref="A29:A30"/>
    <mergeCell ref="C29:C30"/>
    <mergeCell ref="D29:D30"/>
    <mergeCell ref="E29:E30"/>
    <mergeCell ref="A31:A32"/>
    <mergeCell ref="C31:C32"/>
    <mergeCell ref="D31:D32"/>
    <mergeCell ref="E31:E3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28BF-FC95-411D-BBBF-B7CDE652B6A5}">
  <dimension ref="B2:F14"/>
  <sheetViews>
    <sheetView tabSelected="1" workbookViewId="0">
      <selection activeCell="O18" sqref="O18"/>
    </sheetView>
  </sheetViews>
  <sheetFormatPr defaultRowHeight="16.5"/>
  <cols>
    <col min="2" max="2" width="13.125" bestFit="1" customWidth="1"/>
    <col min="3" max="3" width="13.125" customWidth="1"/>
    <col min="4" max="4" width="15.125" bestFit="1" customWidth="1"/>
    <col min="5" max="5" width="15.125" customWidth="1"/>
    <col min="6" max="6" width="9.625" bestFit="1" customWidth="1"/>
  </cols>
  <sheetData>
    <row r="2" spans="2:6">
      <c r="C2" t="s">
        <v>599</v>
      </c>
      <c r="D2" t="s">
        <v>600</v>
      </c>
      <c r="E2" t="s">
        <v>601</v>
      </c>
      <c r="F2" t="s">
        <v>595</v>
      </c>
    </row>
    <row r="3" spans="2:6">
      <c r="B3" t="s">
        <v>594</v>
      </c>
      <c r="C3">
        <v>5.93</v>
      </c>
      <c r="D3">
        <v>7.41</v>
      </c>
      <c r="E3">
        <v>14.83</v>
      </c>
      <c r="F3">
        <f>(D3+E3) * 2</f>
        <v>44.480000000000004</v>
      </c>
    </row>
    <row r="4" spans="2:6">
      <c r="B4" t="s">
        <v>596</v>
      </c>
      <c r="C4">
        <v>2.96</v>
      </c>
      <c r="D4">
        <v>3.7</v>
      </c>
      <c r="E4">
        <v>7.4</v>
      </c>
      <c r="F4">
        <f t="shared" ref="F4:F6" si="0">(D4+E4) * 2</f>
        <v>22.200000000000003</v>
      </c>
    </row>
    <row r="5" spans="2:6">
      <c r="B5" t="s">
        <v>597</v>
      </c>
      <c r="C5">
        <v>2.63</v>
      </c>
      <c r="D5">
        <v>3.29</v>
      </c>
      <c r="E5">
        <v>6.58</v>
      </c>
      <c r="F5">
        <f t="shared" si="0"/>
        <v>19.740000000000002</v>
      </c>
    </row>
    <row r="6" spans="2:6">
      <c r="B6" t="s">
        <v>598</v>
      </c>
      <c r="C6">
        <v>1.31</v>
      </c>
      <c r="D6">
        <v>1.64</v>
      </c>
      <c r="E6">
        <v>3.28</v>
      </c>
      <c r="F6">
        <f t="shared" si="0"/>
        <v>9.84</v>
      </c>
    </row>
    <row r="10" spans="2:6" ht="33">
      <c r="C10" s="56" t="s">
        <v>603</v>
      </c>
      <c r="D10">
        <v>10</v>
      </c>
      <c r="E10">
        <v>20</v>
      </c>
      <c r="F10">
        <v>40</v>
      </c>
    </row>
    <row r="11" spans="2:6" ht="33">
      <c r="B11" s="56" t="s">
        <v>602</v>
      </c>
      <c r="C11" s="56" t="s">
        <v>604</v>
      </c>
      <c r="D11">
        <v>24.71</v>
      </c>
      <c r="E11">
        <v>37.07</v>
      </c>
      <c r="F11">
        <v>49.43</v>
      </c>
    </row>
    <row r="12" spans="2:6">
      <c r="B12">
        <v>22.200000000000003</v>
      </c>
      <c r="C12">
        <v>6.17</v>
      </c>
      <c r="D12">
        <v>12.33</v>
      </c>
      <c r="E12">
        <v>18.5</v>
      </c>
      <c r="F12">
        <v>24.67</v>
      </c>
    </row>
    <row r="13" spans="2:6">
      <c r="B13">
        <v>19.740000000000002</v>
      </c>
      <c r="C13">
        <v>5.48</v>
      </c>
      <c r="D13">
        <v>10.97</v>
      </c>
      <c r="E13">
        <v>16.45</v>
      </c>
      <c r="F13">
        <v>21.93</v>
      </c>
    </row>
    <row r="14" spans="2:6">
      <c r="B14">
        <v>9.84</v>
      </c>
      <c r="C14">
        <v>2.73</v>
      </c>
      <c r="D14">
        <v>5.47</v>
      </c>
      <c r="E14">
        <v>8.1999999999999993</v>
      </c>
      <c r="F14">
        <v>10.93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4B3A-2648-4FB0-BBA9-9ACDCE3B68E0}">
  <dimension ref="A1:C30"/>
  <sheetViews>
    <sheetView workbookViewId="0">
      <selection activeCell="B28" sqref="B28"/>
    </sheetView>
  </sheetViews>
  <sheetFormatPr defaultRowHeight="16.5"/>
  <cols>
    <col min="1" max="1" width="39.25" bestFit="1" customWidth="1"/>
    <col min="2" max="2" width="50.75" bestFit="1" customWidth="1"/>
    <col min="3" max="3" width="105" customWidth="1"/>
  </cols>
  <sheetData>
    <row r="1" spans="1:3" ht="18" thickBot="1">
      <c r="A1" s="25" t="s">
        <v>191</v>
      </c>
      <c r="B1" s="25"/>
      <c r="C1" s="25"/>
    </row>
    <row r="2" spans="1:3" ht="18" thickBot="1">
      <c r="A2" s="26" t="s">
        <v>192</v>
      </c>
      <c r="B2" s="27" t="s">
        <v>193</v>
      </c>
      <c r="C2" s="27" t="s">
        <v>211</v>
      </c>
    </row>
    <row r="3" spans="1:3" ht="18" thickBot="1">
      <c r="A3" s="25"/>
      <c r="B3" s="27" t="s">
        <v>194</v>
      </c>
      <c r="C3" s="27" t="s">
        <v>212</v>
      </c>
    </row>
    <row r="4" spans="1:3" ht="18" thickBot="1">
      <c r="A4" s="25"/>
      <c r="B4" s="27" t="s">
        <v>195</v>
      </c>
      <c r="C4" s="27" t="s">
        <v>213</v>
      </c>
    </row>
    <row r="5" spans="1:3" s="24" customFormat="1" ht="18" thickBot="1">
      <c r="A5" s="28" t="s">
        <v>196</v>
      </c>
      <c r="B5" s="29" t="s">
        <v>197</v>
      </c>
      <c r="C5" s="29" t="s">
        <v>214</v>
      </c>
    </row>
    <row r="6" spans="1:3" ht="18" thickBot="1">
      <c r="A6" s="25"/>
      <c r="B6" s="27" t="s">
        <v>215</v>
      </c>
      <c r="C6" s="27" t="s">
        <v>216</v>
      </c>
    </row>
    <row r="7" spans="1:3" s="24" customFormat="1" ht="18" thickBot="1">
      <c r="A7" s="28" t="s">
        <v>198</v>
      </c>
      <c r="B7" s="29" t="s">
        <v>199</v>
      </c>
      <c r="C7" s="29" t="s">
        <v>200</v>
      </c>
    </row>
    <row r="8" spans="1:3" s="24" customFormat="1" ht="18" thickBot="1">
      <c r="A8" s="30"/>
      <c r="B8" s="29" t="s">
        <v>201</v>
      </c>
      <c r="C8" s="29" t="s">
        <v>202</v>
      </c>
    </row>
    <row r="9" spans="1:3" s="24" customFormat="1" ht="18" thickBot="1">
      <c r="A9" s="30"/>
      <c r="B9" s="29" t="s">
        <v>203</v>
      </c>
      <c r="C9" s="29" t="s">
        <v>204</v>
      </c>
    </row>
    <row r="10" spans="1:3" s="24" customFormat="1" ht="18" thickBot="1">
      <c r="A10" s="30"/>
      <c r="B10" s="29" t="s">
        <v>205</v>
      </c>
      <c r="C10" s="29" t="s">
        <v>206</v>
      </c>
    </row>
    <row r="11" spans="1:3" s="24" customFormat="1" ht="18" thickBot="1">
      <c r="A11" s="30"/>
      <c r="B11" s="29" t="s">
        <v>207</v>
      </c>
      <c r="C11" s="29" t="s">
        <v>208</v>
      </c>
    </row>
    <row r="12" spans="1:3" s="24" customFormat="1" ht="18" thickBot="1">
      <c r="A12" s="30"/>
      <c r="B12" s="29" t="s">
        <v>209</v>
      </c>
      <c r="C12" s="29" t="s">
        <v>210</v>
      </c>
    </row>
    <row r="13" spans="1:3" s="24" customFormat="1" ht="18" thickBot="1">
      <c r="A13" s="28" t="s">
        <v>217</v>
      </c>
      <c r="B13" s="29" t="s">
        <v>218</v>
      </c>
      <c r="C13" s="29" t="s">
        <v>219</v>
      </c>
    </row>
    <row r="14" spans="1:3" ht="18" customHeight="1" thickBot="1">
      <c r="A14" s="25"/>
      <c r="B14" s="27" t="s">
        <v>220</v>
      </c>
      <c r="C14" s="27" t="s">
        <v>221</v>
      </c>
    </row>
    <row r="15" spans="1:3" ht="18" customHeight="1" thickBot="1">
      <c r="A15" s="25"/>
      <c r="B15" s="27" t="s">
        <v>222</v>
      </c>
      <c r="C15" s="27" t="s">
        <v>223</v>
      </c>
    </row>
    <row r="16" spans="1:3" ht="18" thickBot="1">
      <c r="A16" s="25"/>
      <c r="B16" s="27" t="s">
        <v>224</v>
      </c>
      <c r="C16" s="27" t="s">
        <v>225</v>
      </c>
    </row>
    <row r="17" spans="1:3" ht="18" thickBot="1">
      <c r="A17" s="26" t="s">
        <v>226</v>
      </c>
      <c r="B17" s="27" t="s">
        <v>227</v>
      </c>
      <c r="C17" s="27" t="s">
        <v>228</v>
      </c>
    </row>
    <row r="18" spans="1:3" ht="18" customHeight="1" thickBot="1">
      <c r="A18" s="25"/>
      <c r="B18" s="27" t="s">
        <v>229</v>
      </c>
      <c r="C18" s="27" t="s">
        <v>230</v>
      </c>
    </row>
    <row r="19" spans="1:3" ht="18" customHeight="1" thickBot="1">
      <c r="A19" s="25"/>
      <c r="B19" s="27" t="s">
        <v>231</v>
      </c>
      <c r="C19" s="27" t="s">
        <v>232</v>
      </c>
    </row>
    <row r="20" spans="1:3" ht="18" customHeight="1" thickBot="1">
      <c r="A20" s="25"/>
      <c r="B20" s="27" t="s">
        <v>233</v>
      </c>
      <c r="C20" s="27" t="s">
        <v>234</v>
      </c>
    </row>
    <row r="21" spans="1:3" ht="18" customHeight="1" thickBot="1">
      <c r="A21" s="25"/>
      <c r="B21" s="27" t="s">
        <v>235</v>
      </c>
      <c r="C21" s="27" t="s">
        <v>236</v>
      </c>
    </row>
    <row r="22" spans="1:3" ht="18" thickBot="1">
      <c r="A22" s="26" t="s">
        <v>237</v>
      </c>
      <c r="B22" s="27" t="s">
        <v>238</v>
      </c>
      <c r="C22" s="27" t="s">
        <v>239</v>
      </c>
    </row>
    <row r="23" spans="1:3" ht="18" customHeight="1" thickBot="1">
      <c r="A23" s="25"/>
      <c r="B23" s="27" t="s">
        <v>240</v>
      </c>
      <c r="C23" s="27" t="s">
        <v>241</v>
      </c>
    </row>
    <row r="24" spans="1:3" s="24" customFormat="1" ht="18" thickBot="1">
      <c r="A24" s="30"/>
      <c r="B24" s="29" t="s">
        <v>242</v>
      </c>
      <c r="C24" s="29" t="s">
        <v>243</v>
      </c>
    </row>
    <row r="25" spans="1:3" ht="18" customHeight="1" thickBot="1">
      <c r="A25" s="25"/>
      <c r="B25" s="27" t="s">
        <v>244</v>
      </c>
      <c r="C25" s="27" t="s">
        <v>245</v>
      </c>
    </row>
    <row r="26" spans="1:3" s="24" customFormat="1" ht="18" thickBot="1">
      <c r="A26" s="30"/>
      <c r="B26" s="29" t="s">
        <v>246</v>
      </c>
      <c r="C26" s="29" t="s">
        <v>247</v>
      </c>
    </row>
    <row r="27" spans="1:3" s="24" customFormat="1" ht="18" thickBot="1">
      <c r="A27" s="28" t="s">
        <v>248</v>
      </c>
      <c r="B27" s="29" t="s">
        <v>249</v>
      </c>
      <c r="C27" s="29" t="s">
        <v>250</v>
      </c>
    </row>
    <row r="28" spans="1:3" s="24" customFormat="1" ht="18" customHeight="1" thickBot="1">
      <c r="A28" s="30"/>
      <c r="B28" s="29" t="s">
        <v>251</v>
      </c>
      <c r="C28" s="29" t="s">
        <v>252</v>
      </c>
    </row>
    <row r="29" spans="1:3" s="24" customFormat="1" ht="18" customHeight="1" thickBot="1">
      <c r="A29" s="30"/>
      <c r="B29" s="29" t="s">
        <v>253</v>
      </c>
      <c r="C29" s="29" t="s">
        <v>254</v>
      </c>
    </row>
    <row r="30" spans="1:3" ht="17.25">
      <c r="B30" s="31" t="s">
        <v>255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42659-D9CB-45B1-9A8D-84CB397A0EAA}">
  <sheetPr filterMode="1"/>
  <dimension ref="A1:I96"/>
  <sheetViews>
    <sheetView topLeftCell="A60" zoomScale="70" zoomScaleNormal="70" workbookViewId="0">
      <selection activeCell="D88" sqref="D88:E89"/>
    </sheetView>
  </sheetViews>
  <sheetFormatPr defaultRowHeight="16.5"/>
  <cols>
    <col min="2" max="2" width="16.5" bestFit="1" customWidth="1"/>
    <col min="3" max="3" width="18.25" customWidth="1"/>
    <col min="4" max="4" width="62" customWidth="1"/>
    <col min="5" max="5" width="97.625" customWidth="1"/>
    <col min="6" max="6" width="10.375" customWidth="1"/>
  </cols>
  <sheetData>
    <row r="1" spans="1:9" s="39" customFormat="1" ht="21">
      <c r="B1" s="37"/>
      <c r="C1" s="37"/>
      <c r="D1" s="38" t="s">
        <v>294</v>
      </c>
      <c r="E1" s="37"/>
      <c r="F1" s="37" t="s">
        <v>540</v>
      </c>
      <c r="G1" s="37" t="s">
        <v>541</v>
      </c>
      <c r="H1" s="37" t="s">
        <v>542</v>
      </c>
    </row>
    <row r="2" spans="1:9" ht="17.25">
      <c r="A2" s="39" t="s">
        <v>562</v>
      </c>
      <c r="B2" s="32" t="s">
        <v>511</v>
      </c>
      <c r="C2" s="33" t="s">
        <v>4</v>
      </c>
      <c r="D2" s="33" t="s">
        <v>256</v>
      </c>
      <c r="E2" s="33" t="s">
        <v>257</v>
      </c>
      <c r="F2" s="33"/>
      <c r="G2" s="32"/>
      <c r="H2" s="32"/>
    </row>
    <row r="3" spans="1:9" ht="17.25" hidden="1">
      <c r="B3" s="32" t="s">
        <v>512</v>
      </c>
      <c r="C3" s="34" t="s">
        <v>258</v>
      </c>
      <c r="D3" s="34" t="s">
        <v>259</v>
      </c>
      <c r="E3" s="34" t="s">
        <v>260</v>
      </c>
      <c r="F3" s="34"/>
      <c r="G3" s="32"/>
      <c r="H3" s="32"/>
    </row>
    <row r="4" spans="1:9" ht="17.25" hidden="1">
      <c r="B4" s="32" t="s">
        <v>512</v>
      </c>
      <c r="C4" s="34" t="s">
        <v>261</v>
      </c>
      <c r="D4" s="34" t="s">
        <v>262</v>
      </c>
      <c r="E4" s="34" t="s">
        <v>263</v>
      </c>
      <c r="F4" s="34"/>
      <c r="G4" s="32"/>
      <c r="H4" s="32"/>
    </row>
    <row r="5" spans="1:9" ht="17.25" hidden="1">
      <c r="B5" s="32" t="s">
        <v>512</v>
      </c>
      <c r="C5" s="34" t="s">
        <v>264</v>
      </c>
      <c r="D5" s="34" t="s">
        <v>265</v>
      </c>
      <c r="E5" s="34" t="s">
        <v>266</v>
      </c>
      <c r="F5" s="34"/>
      <c r="G5" s="32"/>
      <c r="H5" s="32"/>
    </row>
    <row r="6" spans="1:9" s="42" customFormat="1" ht="17.25">
      <c r="A6" s="42" t="s">
        <v>557</v>
      </c>
      <c r="B6" s="40" t="s">
        <v>512</v>
      </c>
      <c r="C6" s="41" t="s">
        <v>267</v>
      </c>
      <c r="D6" s="41" t="s">
        <v>268</v>
      </c>
      <c r="E6" s="41" t="s">
        <v>269</v>
      </c>
      <c r="F6" s="41" t="s">
        <v>107</v>
      </c>
      <c r="G6" s="40" t="s">
        <v>107</v>
      </c>
      <c r="H6" s="40"/>
      <c r="I6" s="42" t="s">
        <v>547</v>
      </c>
    </row>
    <row r="7" spans="1:9" ht="17.25" hidden="1">
      <c r="B7" s="32" t="s">
        <v>512</v>
      </c>
      <c r="C7" s="34" t="s">
        <v>270</v>
      </c>
      <c r="D7" s="34" t="s">
        <v>271</v>
      </c>
      <c r="E7" s="34" t="s">
        <v>272</v>
      </c>
      <c r="F7" s="34"/>
      <c r="G7" s="32"/>
      <c r="H7" s="32"/>
    </row>
    <row r="8" spans="1:9" ht="17.25" hidden="1">
      <c r="B8" s="32" t="s">
        <v>513</v>
      </c>
      <c r="C8" s="34" t="s">
        <v>273</v>
      </c>
      <c r="D8" s="34" t="s">
        <v>274</v>
      </c>
      <c r="E8" s="34" t="s">
        <v>275</v>
      </c>
      <c r="F8" s="34"/>
      <c r="G8" s="32"/>
      <c r="H8" s="32"/>
    </row>
    <row r="9" spans="1:9" s="42" customFormat="1" ht="17.25">
      <c r="A9" s="42" t="s">
        <v>557</v>
      </c>
      <c r="B9" s="40" t="s">
        <v>513</v>
      </c>
      <c r="C9" s="41" t="s">
        <v>276</v>
      </c>
      <c r="D9" s="41" t="s">
        <v>277</v>
      </c>
      <c r="E9" s="41" t="s">
        <v>278</v>
      </c>
      <c r="F9" s="41" t="s">
        <v>107</v>
      </c>
      <c r="G9" s="40" t="s">
        <v>107</v>
      </c>
      <c r="H9" s="40"/>
      <c r="I9" s="42" t="s">
        <v>546</v>
      </c>
    </row>
    <row r="10" spans="1:9" ht="17.25" hidden="1">
      <c r="B10" s="32" t="s">
        <v>513</v>
      </c>
      <c r="C10" s="34" t="s">
        <v>279</v>
      </c>
      <c r="D10" s="34" t="s">
        <v>280</v>
      </c>
      <c r="E10" s="34" t="s">
        <v>281</v>
      </c>
      <c r="F10" s="34"/>
      <c r="G10" s="32"/>
      <c r="H10" s="32"/>
    </row>
    <row r="11" spans="1:9" ht="17.25" hidden="1">
      <c r="B11" s="32" t="s">
        <v>513</v>
      </c>
      <c r="C11" s="34" t="s">
        <v>282</v>
      </c>
      <c r="D11" s="34" t="s">
        <v>283</v>
      </c>
      <c r="E11" s="34" t="s">
        <v>284</v>
      </c>
      <c r="F11" s="34"/>
      <c r="G11" s="32"/>
      <c r="H11" s="32"/>
    </row>
    <row r="12" spans="1:9" ht="17.25" hidden="1">
      <c r="B12" s="32" t="s">
        <v>514</v>
      </c>
      <c r="C12" s="34" t="s">
        <v>285</v>
      </c>
      <c r="D12" s="34" t="s">
        <v>286</v>
      </c>
      <c r="E12" s="34" t="s">
        <v>287</v>
      </c>
      <c r="F12" s="34"/>
      <c r="G12" s="32"/>
      <c r="H12" s="32"/>
      <c r="I12" t="s">
        <v>548</v>
      </c>
    </row>
    <row r="13" spans="1:9" ht="17.25" hidden="1">
      <c r="B13" s="32" t="s">
        <v>514</v>
      </c>
      <c r="C13" s="34" t="s">
        <v>288</v>
      </c>
      <c r="D13" s="34" t="s">
        <v>289</v>
      </c>
      <c r="E13" s="34" t="s">
        <v>290</v>
      </c>
      <c r="F13" s="34"/>
      <c r="G13" s="32"/>
      <c r="H13" s="32"/>
    </row>
    <row r="14" spans="1:9" ht="17.25" hidden="1">
      <c r="B14" s="32" t="s">
        <v>514</v>
      </c>
      <c r="C14" s="34" t="s">
        <v>291</v>
      </c>
      <c r="D14" s="34" t="s">
        <v>292</v>
      </c>
      <c r="E14" s="34" t="s">
        <v>293</v>
      </c>
      <c r="F14" s="34"/>
      <c r="G14" s="32"/>
      <c r="H14" s="32"/>
    </row>
    <row r="15" spans="1:9" s="39" customFormat="1" ht="21" hidden="1">
      <c r="B15" s="37"/>
      <c r="C15" s="37"/>
      <c r="D15" s="38" t="s">
        <v>295</v>
      </c>
      <c r="E15" s="37"/>
      <c r="F15" s="37"/>
      <c r="G15" s="37"/>
      <c r="H15" s="37"/>
    </row>
    <row r="16" spans="1:9" ht="17.25" hidden="1">
      <c r="B16" s="32" t="s">
        <v>511</v>
      </c>
      <c r="C16" s="33" t="s">
        <v>4</v>
      </c>
      <c r="D16" s="33" t="s">
        <v>256</v>
      </c>
      <c r="E16" s="33" t="s">
        <v>257</v>
      </c>
      <c r="F16" s="33"/>
      <c r="G16" s="32"/>
      <c r="H16" s="32"/>
    </row>
    <row r="17" spans="2:9" s="24" customFormat="1" ht="17.25" hidden="1">
      <c r="B17" s="35" t="s">
        <v>515</v>
      </c>
      <c r="C17" s="36" t="s">
        <v>296</v>
      </c>
      <c r="D17" s="36" t="s">
        <v>297</v>
      </c>
      <c r="E17" s="36" t="s">
        <v>298</v>
      </c>
      <c r="F17" s="36"/>
      <c r="G17" s="35"/>
      <c r="H17" s="35"/>
      <c r="I17" s="24" t="s">
        <v>549</v>
      </c>
    </row>
    <row r="18" spans="2:9" ht="17.25" hidden="1">
      <c r="B18" s="32" t="s">
        <v>516</v>
      </c>
      <c r="C18" s="34" t="s">
        <v>299</v>
      </c>
      <c r="D18" s="34" t="s">
        <v>300</v>
      </c>
      <c r="E18" s="34" t="s">
        <v>301</v>
      </c>
      <c r="F18" s="34"/>
      <c r="G18" s="32"/>
      <c r="H18" s="32"/>
      <c r="I18" t="s">
        <v>549</v>
      </c>
    </row>
    <row r="19" spans="2:9" ht="17.25" hidden="1">
      <c r="B19" s="32" t="s">
        <v>516</v>
      </c>
      <c r="C19" s="34" t="s">
        <v>302</v>
      </c>
      <c r="D19" s="34" t="s">
        <v>303</v>
      </c>
      <c r="E19" s="34" t="s">
        <v>304</v>
      </c>
      <c r="F19" s="34"/>
      <c r="G19" s="32"/>
      <c r="H19" s="32"/>
    </row>
    <row r="20" spans="2:9" ht="17.25" hidden="1">
      <c r="B20" s="32" t="s">
        <v>516</v>
      </c>
      <c r="C20" s="34" t="s">
        <v>305</v>
      </c>
      <c r="D20" s="34" t="s">
        <v>306</v>
      </c>
      <c r="E20" s="34" t="s">
        <v>307</v>
      </c>
      <c r="F20" s="34"/>
      <c r="G20" s="32"/>
      <c r="H20" s="32"/>
    </row>
    <row r="21" spans="2:9" s="39" customFormat="1" ht="21" hidden="1">
      <c r="B21" s="37"/>
      <c r="C21" s="37"/>
      <c r="D21" s="38" t="s">
        <v>308</v>
      </c>
      <c r="E21" s="37"/>
      <c r="F21" s="37"/>
      <c r="G21" s="37"/>
      <c r="H21" s="37"/>
    </row>
    <row r="22" spans="2:9" ht="17.25" hidden="1">
      <c r="B22" s="32" t="s">
        <v>511</v>
      </c>
      <c r="C22" s="33" t="s">
        <v>4</v>
      </c>
      <c r="D22" s="33" t="s">
        <v>256</v>
      </c>
      <c r="E22" s="33" t="s">
        <v>257</v>
      </c>
      <c r="F22" s="33"/>
      <c r="G22" s="32"/>
      <c r="H22" s="32"/>
    </row>
    <row r="23" spans="2:9" s="24" customFormat="1" ht="17.25" hidden="1">
      <c r="B23" s="35" t="s">
        <v>517</v>
      </c>
      <c r="C23" s="36" t="s">
        <v>309</v>
      </c>
      <c r="D23" s="36" t="s">
        <v>310</v>
      </c>
      <c r="E23" s="36" t="s">
        <v>311</v>
      </c>
      <c r="F23" s="36"/>
      <c r="G23" s="35"/>
      <c r="H23" s="35"/>
      <c r="I23" s="24" t="s">
        <v>550</v>
      </c>
    </row>
    <row r="24" spans="2:9" s="24" customFormat="1" ht="17.25" hidden="1">
      <c r="B24" s="35" t="s">
        <v>517</v>
      </c>
      <c r="C24" s="36" t="s">
        <v>312</v>
      </c>
      <c r="D24" s="36" t="s">
        <v>313</v>
      </c>
      <c r="E24" s="36" t="s">
        <v>314</v>
      </c>
      <c r="F24" s="36"/>
      <c r="G24" s="35"/>
      <c r="H24" s="35"/>
    </row>
    <row r="25" spans="2:9" s="24" customFormat="1" ht="17.25" hidden="1">
      <c r="B25" s="35" t="s">
        <v>517</v>
      </c>
      <c r="C25" s="36" t="s">
        <v>315</v>
      </c>
      <c r="D25" s="36" t="s">
        <v>316</v>
      </c>
      <c r="E25" s="36" t="s">
        <v>317</v>
      </c>
      <c r="F25" s="36"/>
      <c r="G25" s="35"/>
      <c r="H25" s="35"/>
    </row>
    <row r="26" spans="2:9" s="24" customFormat="1" ht="17.25" hidden="1">
      <c r="B26" s="35" t="s">
        <v>518</v>
      </c>
      <c r="C26" s="36" t="s">
        <v>318</v>
      </c>
      <c r="D26" s="36" t="s">
        <v>319</v>
      </c>
      <c r="E26" s="36" t="s">
        <v>320</v>
      </c>
      <c r="F26" s="36"/>
      <c r="G26" s="35"/>
      <c r="H26" s="35"/>
    </row>
    <row r="27" spans="2:9" s="24" customFormat="1" ht="17.25" hidden="1">
      <c r="B27" s="35" t="s">
        <v>518</v>
      </c>
      <c r="C27" s="36" t="s">
        <v>321</v>
      </c>
      <c r="D27" s="36" t="s">
        <v>322</v>
      </c>
      <c r="E27" s="36" t="s">
        <v>323</v>
      </c>
      <c r="F27" s="36"/>
      <c r="G27" s="35"/>
      <c r="H27" s="35"/>
    </row>
    <row r="28" spans="2:9" s="24" customFormat="1" ht="17.25" hidden="1">
      <c r="B28" s="35" t="s">
        <v>518</v>
      </c>
      <c r="C28" s="36" t="s">
        <v>324</v>
      </c>
      <c r="D28" s="36" t="s">
        <v>325</v>
      </c>
      <c r="E28" s="36" t="s">
        <v>326</v>
      </c>
      <c r="F28" s="36"/>
      <c r="G28" s="35"/>
      <c r="H28" s="35"/>
    </row>
    <row r="29" spans="2:9" s="24" customFormat="1" ht="17.25" hidden="1">
      <c r="B29" s="35" t="s">
        <v>518</v>
      </c>
      <c r="C29" s="36" t="s">
        <v>327</v>
      </c>
      <c r="D29" s="36" t="s">
        <v>328</v>
      </c>
      <c r="E29" s="36" t="s">
        <v>329</v>
      </c>
      <c r="F29" s="36"/>
      <c r="G29" s="35"/>
      <c r="H29" s="35"/>
    </row>
    <row r="30" spans="2:9" s="24" customFormat="1" ht="17.25" hidden="1">
      <c r="B30" s="35" t="s">
        <v>519</v>
      </c>
      <c r="C30" s="36" t="s">
        <v>330</v>
      </c>
      <c r="D30" s="36" t="s">
        <v>331</v>
      </c>
      <c r="E30" s="36" t="s">
        <v>332</v>
      </c>
      <c r="F30" s="36"/>
      <c r="G30" s="35"/>
      <c r="H30" s="35"/>
    </row>
    <row r="31" spans="2:9" s="24" customFormat="1" ht="17.25" hidden="1">
      <c r="B31" s="35" t="s">
        <v>519</v>
      </c>
      <c r="C31" s="36" t="s">
        <v>333</v>
      </c>
      <c r="D31" s="36" t="s">
        <v>334</v>
      </c>
      <c r="E31" s="36" t="s">
        <v>335</v>
      </c>
      <c r="F31" s="36"/>
      <c r="G31" s="35"/>
      <c r="H31" s="35"/>
    </row>
    <row r="32" spans="2:9" s="24" customFormat="1" ht="17.25" hidden="1">
      <c r="B32" s="35" t="s">
        <v>519</v>
      </c>
      <c r="C32" s="36" t="s">
        <v>336</v>
      </c>
      <c r="D32" s="36" t="s">
        <v>337</v>
      </c>
      <c r="E32" s="36" t="s">
        <v>338</v>
      </c>
      <c r="F32" s="36"/>
      <c r="G32" s="35"/>
      <c r="H32" s="35"/>
    </row>
    <row r="33" spans="2:8" s="24" customFormat="1" ht="17.25" hidden="1">
      <c r="B33" s="35" t="s">
        <v>519</v>
      </c>
      <c r="C33" s="36" t="s">
        <v>339</v>
      </c>
      <c r="D33" s="36" t="s">
        <v>340</v>
      </c>
      <c r="E33" s="36" t="s">
        <v>341</v>
      </c>
      <c r="F33" s="36"/>
      <c r="G33" s="35"/>
      <c r="H33" s="35"/>
    </row>
    <row r="34" spans="2:8" s="24" customFormat="1" ht="17.25" hidden="1">
      <c r="B34" s="35" t="s">
        <v>519</v>
      </c>
      <c r="C34" s="36" t="s">
        <v>342</v>
      </c>
      <c r="D34" s="36" t="s">
        <v>343</v>
      </c>
      <c r="E34" s="36" t="s">
        <v>344</v>
      </c>
      <c r="F34" s="36"/>
      <c r="G34" s="35"/>
      <c r="H34" s="35"/>
    </row>
    <row r="35" spans="2:8" s="24" customFormat="1" ht="17.25" hidden="1">
      <c r="B35" s="35" t="s">
        <v>519</v>
      </c>
      <c r="C35" s="36" t="s">
        <v>345</v>
      </c>
      <c r="D35" s="36" t="s">
        <v>346</v>
      </c>
      <c r="E35" s="36" t="s">
        <v>347</v>
      </c>
      <c r="F35" s="36"/>
      <c r="G35" s="35"/>
      <c r="H35" s="35"/>
    </row>
    <row r="36" spans="2:8" s="24" customFormat="1" ht="17.25" hidden="1">
      <c r="B36" s="35" t="s">
        <v>519</v>
      </c>
      <c r="C36" s="36" t="s">
        <v>348</v>
      </c>
      <c r="D36" s="36" t="s">
        <v>349</v>
      </c>
      <c r="E36" s="36" t="s">
        <v>350</v>
      </c>
      <c r="F36" s="36"/>
      <c r="G36" s="35"/>
      <c r="H36" s="35"/>
    </row>
    <row r="37" spans="2:8" s="24" customFormat="1" ht="17.25" hidden="1">
      <c r="B37" s="35" t="s">
        <v>519</v>
      </c>
      <c r="C37" s="36" t="s">
        <v>351</v>
      </c>
      <c r="D37" s="36" t="s">
        <v>352</v>
      </c>
      <c r="E37" s="36" t="s">
        <v>353</v>
      </c>
      <c r="F37" s="36"/>
      <c r="G37" s="35"/>
      <c r="H37" s="35"/>
    </row>
    <row r="38" spans="2:8" s="24" customFormat="1" ht="17.25" hidden="1">
      <c r="B38" s="35" t="s">
        <v>519</v>
      </c>
      <c r="C38" s="36" t="s">
        <v>354</v>
      </c>
      <c r="D38" s="36" t="s">
        <v>355</v>
      </c>
      <c r="E38" s="36" t="s">
        <v>356</v>
      </c>
      <c r="F38" s="36"/>
      <c r="G38" s="35"/>
      <c r="H38" s="35"/>
    </row>
    <row r="39" spans="2:8" s="24" customFormat="1" ht="34.5" hidden="1">
      <c r="B39" s="35" t="s">
        <v>520</v>
      </c>
      <c r="C39" s="36" t="s">
        <v>357</v>
      </c>
      <c r="D39" s="36" t="s">
        <v>358</v>
      </c>
      <c r="E39" s="36" t="s">
        <v>359</v>
      </c>
      <c r="F39" s="36"/>
      <c r="G39" s="35"/>
      <c r="H39" s="35"/>
    </row>
    <row r="40" spans="2:8" s="24" customFormat="1" ht="17.25" hidden="1">
      <c r="B40" s="35" t="s">
        <v>520</v>
      </c>
      <c r="C40" s="36" t="s">
        <v>360</v>
      </c>
      <c r="D40" s="36" t="s">
        <v>361</v>
      </c>
      <c r="E40" s="36" t="s">
        <v>362</v>
      </c>
      <c r="F40" s="36"/>
      <c r="G40" s="35"/>
      <c r="H40" s="35"/>
    </row>
    <row r="41" spans="2:8" s="24" customFormat="1" ht="17.25" hidden="1">
      <c r="B41" s="35" t="s">
        <v>520</v>
      </c>
      <c r="C41" s="36" t="s">
        <v>363</v>
      </c>
      <c r="D41" s="36" t="s">
        <v>364</v>
      </c>
      <c r="E41" s="36" t="s">
        <v>365</v>
      </c>
      <c r="F41" s="36"/>
      <c r="G41" s="35"/>
      <c r="H41" s="35"/>
    </row>
    <row r="42" spans="2:8" s="24" customFormat="1" ht="17.25" hidden="1">
      <c r="B42" s="35" t="s">
        <v>521</v>
      </c>
      <c r="C42" s="36" t="s">
        <v>366</v>
      </c>
      <c r="D42" s="36" t="s">
        <v>367</v>
      </c>
      <c r="E42" s="36" t="s">
        <v>368</v>
      </c>
      <c r="F42" s="36"/>
      <c r="G42" s="35"/>
      <c r="H42" s="35"/>
    </row>
    <row r="43" spans="2:8" s="24" customFormat="1" ht="17.25" hidden="1">
      <c r="B43" s="35" t="s">
        <v>522</v>
      </c>
      <c r="C43" s="36" t="s">
        <v>369</v>
      </c>
      <c r="D43" s="36" t="s">
        <v>370</v>
      </c>
      <c r="E43" s="36" t="s">
        <v>371</v>
      </c>
      <c r="F43" s="36"/>
      <c r="G43" s="35"/>
      <c r="H43" s="35"/>
    </row>
    <row r="44" spans="2:8" s="24" customFormat="1" ht="17.25" hidden="1">
      <c r="B44" s="35" t="s">
        <v>522</v>
      </c>
      <c r="C44" s="36" t="s">
        <v>372</v>
      </c>
      <c r="D44" s="36" t="s">
        <v>373</v>
      </c>
      <c r="E44" s="36" t="s">
        <v>374</v>
      </c>
      <c r="F44" s="36"/>
      <c r="G44" s="35"/>
      <c r="H44" s="35"/>
    </row>
    <row r="45" spans="2:8" s="39" customFormat="1" ht="21" hidden="1">
      <c r="B45" s="37"/>
      <c r="C45" s="37"/>
      <c r="D45" s="38" t="s">
        <v>375</v>
      </c>
      <c r="E45" s="37"/>
      <c r="F45" s="37"/>
      <c r="G45" s="37"/>
      <c r="H45" s="37"/>
    </row>
    <row r="46" spans="2:8" ht="17.25" hidden="1">
      <c r="B46" s="32" t="s">
        <v>511</v>
      </c>
      <c r="C46" s="33" t="s">
        <v>4</v>
      </c>
      <c r="D46" s="33" t="s">
        <v>256</v>
      </c>
      <c r="E46" s="33" t="s">
        <v>257</v>
      </c>
      <c r="F46" s="33"/>
      <c r="G46" s="32"/>
      <c r="H46" s="32"/>
    </row>
    <row r="47" spans="2:8" s="24" customFormat="1" ht="17.25" hidden="1">
      <c r="B47" s="35" t="s">
        <v>523</v>
      </c>
      <c r="C47" s="36" t="s">
        <v>376</v>
      </c>
      <c r="D47" s="36" t="s">
        <v>377</v>
      </c>
      <c r="E47" s="36" t="s">
        <v>378</v>
      </c>
      <c r="F47" s="36"/>
      <c r="G47" s="35"/>
      <c r="H47" s="35"/>
    </row>
    <row r="48" spans="2:8" s="24" customFormat="1" ht="17.25" hidden="1">
      <c r="B48" s="35" t="s">
        <v>523</v>
      </c>
      <c r="C48" s="36" t="s">
        <v>379</v>
      </c>
      <c r="D48" s="36" t="s">
        <v>380</v>
      </c>
      <c r="E48" s="36" t="s">
        <v>381</v>
      </c>
      <c r="F48" s="36"/>
      <c r="G48" s="35"/>
      <c r="H48" s="35"/>
    </row>
    <row r="49" spans="1:9" s="24" customFormat="1" ht="17.25" hidden="1">
      <c r="B49" s="35" t="s">
        <v>523</v>
      </c>
      <c r="C49" s="36" t="s">
        <v>382</v>
      </c>
      <c r="D49" s="36" t="s">
        <v>383</v>
      </c>
      <c r="E49" s="36" t="s">
        <v>384</v>
      </c>
      <c r="F49" s="36"/>
      <c r="G49" s="35"/>
      <c r="H49" s="35"/>
    </row>
    <row r="50" spans="1:9" s="45" customFormat="1" ht="17.25">
      <c r="A50" s="45" t="s">
        <v>558</v>
      </c>
      <c r="B50" s="43" t="s">
        <v>523</v>
      </c>
      <c r="C50" s="44" t="s">
        <v>385</v>
      </c>
      <c r="D50" s="44" t="s">
        <v>386</v>
      </c>
      <c r="E50" s="44" t="s">
        <v>387</v>
      </c>
      <c r="F50" s="44" t="s">
        <v>555</v>
      </c>
      <c r="G50" s="43" t="s">
        <v>555</v>
      </c>
      <c r="H50" s="43"/>
      <c r="I50" s="45" t="s">
        <v>551</v>
      </c>
    </row>
    <row r="51" spans="1:9" ht="17.25" hidden="1">
      <c r="B51" s="32" t="s">
        <v>524</v>
      </c>
      <c r="C51" s="34" t="s">
        <v>388</v>
      </c>
      <c r="D51" s="34" t="s">
        <v>389</v>
      </c>
      <c r="E51" s="34" t="s">
        <v>390</v>
      </c>
      <c r="F51" s="34"/>
      <c r="G51" s="32"/>
      <c r="H51" s="32"/>
    </row>
    <row r="52" spans="1:9" ht="17.25" hidden="1">
      <c r="B52" s="32" t="s">
        <v>524</v>
      </c>
      <c r="C52" s="34" t="s">
        <v>391</v>
      </c>
      <c r="D52" s="34" t="s">
        <v>392</v>
      </c>
      <c r="E52" s="34" t="s">
        <v>393</v>
      </c>
      <c r="F52" s="34"/>
      <c r="G52" s="32"/>
      <c r="H52" s="32"/>
    </row>
    <row r="53" spans="1:9" s="42" customFormat="1" ht="34.5">
      <c r="A53" s="42" t="s">
        <v>558</v>
      </c>
      <c r="B53" s="40" t="s">
        <v>525</v>
      </c>
      <c r="C53" s="41" t="s">
        <v>394</v>
      </c>
      <c r="D53" s="41" t="s">
        <v>395</v>
      </c>
      <c r="E53" s="41" t="s">
        <v>396</v>
      </c>
      <c r="F53" s="41"/>
      <c r="G53" s="40"/>
      <c r="H53" s="40"/>
      <c r="I53" s="42" t="s">
        <v>545</v>
      </c>
    </row>
    <row r="54" spans="1:9" ht="17.25" hidden="1">
      <c r="B54" s="32" t="s">
        <v>525</v>
      </c>
      <c r="C54" s="34" t="s">
        <v>397</v>
      </c>
      <c r="D54" s="34" t="s">
        <v>398</v>
      </c>
      <c r="E54" s="34" t="s">
        <v>399</v>
      </c>
      <c r="F54" s="34"/>
      <c r="G54" s="32"/>
      <c r="H54" s="32"/>
    </row>
    <row r="55" spans="1:9" ht="17.25" hidden="1">
      <c r="B55" s="32" t="s">
        <v>525</v>
      </c>
      <c r="C55" s="34" t="s">
        <v>400</v>
      </c>
      <c r="D55" s="34" t="s">
        <v>401</v>
      </c>
      <c r="E55" s="34" t="s">
        <v>402</v>
      </c>
      <c r="F55" s="34"/>
      <c r="G55" s="32"/>
      <c r="H55" s="32"/>
    </row>
    <row r="56" spans="1:9" ht="17.25" hidden="1">
      <c r="B56" s="32" t="s">
        <v>526</v>
      </c>
      <c r="C56" s="34" t="s">
        <v>403</v>
      </c>
      <c r="D56" s="34" t="s">
        <v>404</v>
      </c>
      <c r="E56" s="34" t="s">
        <v>405</v>
      </c>
      <c r="F56" s="34"/>
      <c r="G56" s="32"/>
      <c r="H56" s="32"/>
    </row>
    <row r="57" spans="1:9" ht="17.25" hidden="1">
      <c r="B57" s="32" t="s">
        <v>526</v>
      </c>
      <c r="C57" s="34" t="s">
        <v>406</v>
      </c>
      <c r="D57" s="34" t="s">
        <v>407</v>
      </c>
      <c r="E57" s="34" t="s">
        <v>408</v>
      </c>
      <c r="F57" s="34"/>
      <c r="G57" s="32"/>
      <c r="H57" s="32"/>
    </row>
    <row r="58" spans="1:9" s="39" customFormat="1" ht="21" hidden="1">
      <c r="B58" s="37"/>
      <c r="C58" s="37"/>
      <c r="D58" s="38" t="s">
        <v>409</v>
      </c>
      <c r="E58" s="37"/>
      <c r="F58" s="37"/>
      <c r="G58" s="37"/>
      <c r="H58" s="37"/>
    </row>
    <row r="59" spans="1:9" ht="17.25" hidden="1">
      <c r="B59" s="32" t="s">
        <v>511</v>
      </c>
      <c r="C59" s="33" t="s">
        <v>4</v>
      </c>
      <c r="D59" s="33" t="s">
        <v>256</v>
      </c>
      <c r="E59" s="33" t="s">
        <v>257</v>
      </c>
      <c r="F59" s="33"/>
      <c r="G59" s="32"/>
      <c r="H59" s="32"/>
    </row>
    <row r="60" spans="1:9" s="42" customFormat="1" ht="34.5">
      <c r="A60" s="42" t="s">
        <v>559</v>
      </c>
      <c r="B60" s="40" t="s">
        <v>527</v>
      </c>
      <c r="C60" s="41" t="s">
        <v>410</v>
      </c>
      <c r="D60" s="41" t="s">
        <v>411</v>
      </c>
      <c r="E60" s="41" t="s">
        <v>412</v>
      </c>
      <c r="F60" s="41" t="s">
        <v>107</v>
      </c>
      <c r="G60" s="40" t="s">
        <v>107</v>
      </c>
      <c r="H60" s="40"/>
      <c r="I60" s="42" t="s">
        <v>543</v>
      </c>
    </row>
    <row r="61" spans="1:9" ht="17.25" hidden="1">
      <c r="B61" s="32" t="s">
        <v>527</v>
      </c>
      <c r="C61" s="34" t="s">
        <v>413</v>
      </c>
      <c r="D61" s="34" t="s">
        <v>414</v>
      </c>
      <c r="E61" s="34" t="s">
        <v>415</v>
      </c>
      <c r="F61" s="34"/>
      <c r="G61" s="32"/>
      <c r="H61" s="32"/>
    </row>
    <row r="62" spans="1:9" ht="34.5" hidden="1">
      <c r="B62" s="32" t="s">
        <v>527</v>
      </c>
      <c r="C62" s="34" t="s">
        <v>416</v>
      </c>
      <c r="D62" s="34" t="s">
        <v>417</v>
      </c>
      <c r="E62" s="34" t="s">
        <v>418</v>
      </c>
      <c r="F62" s="34"/>
      <c r="G62" s="32"/>
      <c r="H62" s="32"/>
    </row>
    <row r="63" spans="1:9" s="45" customFormat="1" ht="17.25">
      <c r="A63" s="45" t="s">
        <v>559</v>
      </c>
      <c r="B63" s="43" t="s">
        <v>528</v>
      </c>
      <c r="C63" s="44" t="s">
        <v>419</v>
      </c>
      <c r="D63" s="44" t="s">
        <v>420</v>
      </c>
      <c r="E63" s="44" t="s">
        <v>421</v>
      </c>
      <c r="F63" s="44" t="s">
        <v>107</v>
      </c>
      <c r="G63" s="43" t="s">
        <v>556</v>
      </c>
      <c r="H63" s="43"/>
      <c r="I63" s="45" t="s">
        <v>543</v>
      </c>
    </row>
    <row r="64" spans="1:9" ht="17.25" hidden="1">
      <c r="B64" s="32" t="s">
        <v>528</v>
      </c>
      <c r="C64" s="34" t="s">
        <v>422</v>
      </c>
      <c r="D64" s="34" t="s">
        <v>423</v>
      </c>
      <c r="E64" s="34" t="s">
        <v>424</v>
      </c>
      <c r="F64" s="34"/>
      <c r="G64" s="32"/>
      <c r="H64" s="32"/>
    </row>
    <row r="65" spans="1:9" ht="17.25" hidden="1">
      <c r="B65" s="32" t="s">
        <v>528</v>
      </c>
      <c r="C65" s="34" t="s">
        <v>425</v>
      </c>
      <c r="D65" s="34" t="s">
        <v>426</v>
      </c>
      <c r="E65" s="34" t="s">
        <v>427</v>
      </c>
      <c r="F65" s="34"/>
      <c r="G65" s="32"/>
      <c r="H65" s="32"/>
    </row>
    <row r="66" spans="1:9" ht="17.25" hidden="1">
      <c r="B66" s="32" t="s">
        <v>529</v>
      </c>
      <c r="C66" s="34" t="s">
        <v>428</v>
      </c>
      <c r="D66" s="34" t="s">
        <v>429</v>
      </c>
      <c r="E66" s="34" t="s">
        <v>430</v>
      </c>
      <c r="F66" s="34"/>
      <c r="G66" s="32"/>
      <c r="H66" s="32"/>
    </row>
    <row r="67" spans="1:9" ht="17.25" hidden="1">
      <c r="B67" s="32" t="s">
        <v>530</v>
      </c>
      <c r="C67" s="34" t="s">
        <v>431</v>
      </c>
      <c r="D67" s="34" t="s">
        <v>432</v>
      </c>
      <c r="E67" s="34" t="s">
        <v>433</v>
      </c>
      <c r="F67" s="34"/>
      <c r="G67" s="32"/>
      <c r="H67" s="32"/>
    </row>
    <row r="68" spans="1:9" ht="17.25" hidden="1">
      <c r="B68" s="32" t="s">
        <v>530</v>
      </c>
      <c r="C68" s="34" t="s">
        <v>434</v>
      </c>
      <c r="D68" s="34" t="s">
        <v>435</v>
      </c>
      <c r="E68" s="34" t="s">
        <v>436</v>
      </c>
      <c r="F68" s="34"/>
      <c r="G68" s="32"/>
      <c r="H68" s="32"/>
    </row>
    <row r="69" spans="1:9" ht="17.25" hidden="1">
      <c r="B69" s="32" t="s">
        <v>531</v>
      </c>
      <c r="C69" s="34" t="s">
        <v>437</v>
      </c>
      <c r="D69" s="34" t="s">
        <v>438</v>
      </c>
      <c r="E69" s="34" t="s">
        <v>439</v>
      </c>
      <c r="F69" s="34"/>
      <c r="G69" s="32"/>
      <c r="H69" s="32"/>
    </row>
    <row r="70" spans="1:9" ht="17.25" hidden="1">
      <c r="B70" s="32" t="s">
        <v>531</v>
      </c>
      <c r="C70" s="34" t="s">
        <v>440</v>
      </c>
      <c r="D70" s="34" t="s">
        <v>441</v>
      </c>
      <c r="E70" s="34" t="s">
        <v>442</v>
      </c>
      <c r="F70" s="34"/>
      <c r="G70" s="32"/>
      <c r="H70" s="32"/>
    </row>
    <row r="71" spans="1:9" s="39" customFormat="1" ht="21" hidden="1">
      <c r="B71" s="37"/>
      <c r="C71" s="37"/>
      <c r="D71" s="38" t="s">
        <v>443</v>
      </c>
      <c r="E71" s="37"/>
      <c r="F71" s="37"/>
      <c r="G71" s="37"/>
      <c r="H71" s="37"/>
    </row>
    <row r="72" spans="1:9" ht="17.25" hidden="1">
      <c r="B72" s="32" t="s">
        <v>511</v>
      </c>
      <c r="C72" s="33" t="s">
        <v>4</v>
      </c>
      <c r="D72" s="33" t="s">
        <v>256</v>
      </c>
      <c r="E72" s="33" t="s">
        <v>257</v>
      </c>
      <c r="F72" s="33"/>
      <c r="G72" s="32"/>
      <c r="H72" s="32"/>
    </row>
    <row r="73" spans="1:9" s="45" customFormat="1" ht="17.25">
      <c r="A73" s="45" t="s">
        <v>560</v>
      </c>
      <c r="B73" s="43" t="s">
        <v>532</v>
      </c>
      <c r="C73" s="44" t="s">
        <v>444</v>
      </c>
      <c r="D73" s="44" t="s">
        <v>445</v>
      </c>
      <c r="E73" s="44" t="s">
        <v>446</v>
      </c>
      <c r="F73" s="44" t="s">
        <v>555</v>
      </c>
      <c r="G73" s="43" t="s">
        <v>555</v>
      </c>
      <c r="H73" s="43"/>
      <c r="I73" s="45" t="s">
        <v>553</v>
      </c>
    </row>
    <row r="74" spans="1:9" ht="17.25" hidden="1">
      <c r="B74" s="32" t="s">
        <v>532</v>
      </c>
      <c r="C74" s="34" t="s">
        <v>447</v>
      </c>
      <c r="D74" s="34" t="s">
        <v>448</v>
      </c>
      <c r="E74" s="34" t="s">
        <v>449</v>
      </c>
      <c r="F74" s="34"/>
      <c r="G74" s="32"/>
      <c r="H74" s="32"/>
    </row>
    <row r="75" spans="1:9" s="42" customFormat="1" ht="17.25">
      <c r="A75" s="42" t="s">
        <v>560</v>
      </c>
      <c r="B75" s="40" t="s">
        <v>533</v>
      </c>
      <c r="C75" s="41" t="s">
        <v>450</v>
      </c>
      <c r="D75" s="41" t="s">
        <v>451</v>
      </c>
      <c r="E75" s="41" t="s">
        <v>452</v>
      </c>
      <c r="F75" s="41" t="s">
        <v>107</v>
      </c>
      <c r="G75" s="40" t="s">
        <v>555</v>
      </c>
      <c r="H75" s="40"/>
      <c r="I75" s="42" t="s">
        <v>544</v>
      </c>
    </row>
    <row r="76" spans="1:9" ht="17.25" hidden="1">
      <c r="B76" s="32" t="s">
        <v>533</v>
      </c>
      <c r="C76" s="34" t="s">
        <v>453</v>
      </c>
      <c r="D76" s="34" t="s">
        <v>454</v>
      </c>
      <c r="E76" s="34" t="s">
        <v>455</v>
      </c>
      <c r="F76" s="34"/>
      <c r="G76" s="32"/>
      <c r="H76" s="32"/>
    </row>
    <row r="77" spans="1:9" s="24" customFormat="1" ht="17.25" hidden="1">
      <c r="B77" s="35" t="s">
        <v>534</v>
      </c>
      <c r="C77" s="36" t="s">
        <v>456</v>
      </c>
      <c r="D77" s="36" t="s">
        <v>457</v>
      </c>
      <c r="E77" s="36" t="s">
        <v>458</v>
      </c>
      <c r="F77" s="36"/>
      <c r="G77" s="35"/>
      <c r="H77" s="35"/>
    </row>
    <row r="78" spans="1:9" s="24" customFormat="1" ht="17.25" hidden="1">
      <c r="B78" s="35" t="s">
        <v>534</v>
      </c>
      <c r="C78" s="36" t="s">
        <v>459</v>
      </c>
      <c r="D78" s="36" t="s">
        <v>460</v>
      </c>
      <c r="E78" s="36" t="s">
        <v>461</v>
      </c>
      <c r="F78" s="36"/>
      <c r="G78" s="35"/>
      <c r="H78" s="35"/>
    </row>
    <row r="79" spans="1:9" s="24" customFormat="1" ht="17.25" hidden="1">
      <c r="B79" s="35" t="s">
        <v>534</v>
      </c>
      <c r="C79" s="36" t="s">
        <v>462</v>
      </c>
      <c r="D79" s="36" t="s">
        <v>463</v>
      </c>
      <c r="E79" s="36" t="s">
        <v>464</v>
      </c>
      <c r="F79" s="36"/>
      <c r="G79" s="35"/>
      <c r="H79" s="35"/>
    </row>
    <row r="80" spans="1:9" s="24" customFormat="1" ht="17.25" hidden="1">
      <c r="B80" s="35" t="s">
        <v>535</v>
      </c>
      <c r="C80" s="36" t="s">
        <v>465</v>
      </c>
      <c r="D80" s="36" t="s">
        <v>466</v>
      </c>
      <c r="E80" s="36" t="s">
        <v>467</v>
      </c>
      <c r="F80" s="36"/>
      <c r="G80" s="35"/>
      <c r="H80" s="35"/>
    </row>
    <row r="81" spans="1:9" ht="17.25" hidden="1">
      <c r="B81" s="32" t="s">
        <v>535</v>
      </c>
      <c r="C81" s="34" t="s">
        <v>468</v>
      </c>
      <c r="D81" s="34" t="s">
        <v>469</v>
      </c>
      <c r="E81" s="34" t="s">
        <v>470</v>
      </c>
      <c r="F81" s="34"/>
      <c r="G81" s="32"/>
      <c r="H81" s="32"/>
    </row>
    <row r="82" spans="1:9" ht="17.25" hidden="1">
      <c r="B82" s="32" t="s">
        <v>535</v>
      </c>
      <c r="C82" s="34" t="s">
        <v>471</v>
      </c>
      <c r="D82" s="34" t="s">
        <v>472</v>
      </c>
      <c r="E82" s="34" t="s">
        <v>473</v>
      </c>
      <c r="F82" s="34"/>
      <c r="G82" s="32"/>
      <c r="H82" s="32"/>
    </row>
    <row r="83" spans="1:9" ht="17.25" hidden="1">
      <c r="B83" s="32" t="s">
        <v>536</v>
      </c>
      <c r="C83" s="34" t="s">
        <v>474</v>
      </c>
      <c r="D83" s="34" t="s">
        <v>475</v>
      </c>
      <c r="E83" s="34" t="s">
        <v>476</v>
      </c>
      <c r="F83" s="34"/>
      <c r="G83" s="32"/>
      <c r="H83" s="32"/>
    </row>
    <row r="84" spans="1:9" ht="34.5" hidden="1">
      <c r="B84" s="32" t="s">
        <v>536</v>
      </c>
      <c r="C84" s="34" t="s">
        <v>477</v>
      </c>
      <c r="D84" s="34" t="s">
        <v>478</v>
      </c>
      <c r="E84" s="34" t="s">
        <v>479</v>
      </c>
      <c r="F84" s="34"/>
      <c r="G84" s="32"/>
      <c r="H84" s="32"/>
    </row>
    <row r="85" spans="1:9" ht="17.25" hidden="1">
      <c r="B85" s="32" t="s">
        <v>536</v>
      </c>
      <c r="C85" s="34" t="s">
        <v>480</v>
      </c>
      <c r="D85" s="34" t="s">
        <v>481</v>
      </c>
      <c r="E85" s="34" t="s">
        <v>482</v>
      </c>
      <c r="F85" s="34"/>
      <c r="G85" s="32"/>
      <c r="H85" s="32"/>
    </row>
    <row r="86" spans="1:9" s="39" customFormat="1" ht="21" hidden="1">
      <c r="B86" s="37"/>
      <c r="C86" s="37"/>
      <c r="D86" s="38" t="s">
        <v>483</v>
      </c>
      <c r="E86" s="37"/>
      <c r="F86" s="37"/>
      <c r="G86" s="37"/>
      <c r="H86" s="37"/>
    </row>
    <row r="87" spans="1:9" ht="17.25" hidden="1">
      <c r="B87" s="32" t="s">
        <v>511</v>
      </c>
      <c r="C87" s="33" t="s">
        <v>4</v>
      </c>
      <c r="D87" s="33" t="s">
        <v>256</v>
      </c>
      <c r="E87" s="33" t="s">
        <v>257</v>
      </c>
      <c r="F87" s="33"/>
      <c r="G87" s="32"/>
      <c r="H87" s="32"/>
    </row>
    <row r="88" spans="1:9" s="45" customFormat="1" ht="34.5">
      <c r="A88" s="45" t="s">
        <v>561</v>
      </c>
      <c r="B88" s="43" t="s">
        <v>537</v>
      </c>
      <c r="C88" s="44" t="s">
        <v>484</v>
      </c>
      <c r="D88" s="44" t="s">
        <v>485</v>
      </c>
      <c r="E88" s="44" t="s">
        <v>486</v>
      </c>
      <c r="F88" s="44" t="s">
        <v>555</v>
      </c>
      <c r="G88" s="43" t="s">
        <v>555</v>
      </c>
      <c r="H88" s="43"/>
      <c r="I88" s="45" t="s">
        <v>554</v>
      </c>
    </row>
    <row r="89" spans="1:9" s="45" customFormat="1" ht="34.5">
      <c r="A89" s="45" t="s">
        <v>561</v>
      </c>
      <c r="B89" s="43" t="s">
        <v>537</v>
      </c>
      <c r="C89" s="44" t="s">
        <v>487</v>
      </c>
      <c r="D89" s="44" t="s">
        <v>488</v>
      </c>
      <c r="E89" s="44" t="s">
        <v>489</v>
      </c>
      <c r="F89" s="44" t="s">
        <v>555</v>
      </c>
      <c r="G89" s="43" t="s">
        <v>555</v>
      </c>
      <c r="H89" s="43"/>
      <c r="I89" s="45" t="s">
        <v>552</v>
      </c>
    </row>
    <row r="90" spans="1:9" s="24" customFormat="1" ht="17.25" hidden="1">
      <c r="B90" s="35" t="s">
        <v>537</v>
      </c>
      <c r="C90" s="36" t="s">
        <v>490</v>
      </c>
      <c r="D90" s="36" t="s">
        <v>491</v>
      </c>
      <c r="E90" s="36" t="s">
        <v>492</v>
      </c>
      <c r="F90" s="36"/>
      <c r="G90" s="35"/>
      <c r="H90" s="35"/>
    </row>
    <row r="91" spans="1:9" s="24" customFormat="1" ht="17.25" hidden="1">
      <c r="B91" s="35" t="s">
        <v>538</v>
      </c>
      <c r="C91" s="36" t="s">
        <v>493</v>
      </c>
      <c r="D91" s="36" t="s">
        <v>494</v>
      </c>
      <c r="E91" s="36" t="s">
        <v>495</v>
      </c>
      <c r="F91" s="36"/>
      <c r="G91" s="35"/>
      <c r="H91" s="35"/>
    </row>
    <row r="92" spans="1:9" s="24" customFormat="1" ht="17.25" hidden="1">
      <c r="B92" s="35" t="s">
        <v>538</v>
      </c>
      <c r="C92" s="36" t="s">
        <v>496</v>
      </c>
      <c r="D92" s="36" t="s">
        <v>497</v>
      </c>
      <c r="E92" s="36" t="s">
        <v>498</v>
      </c>
      <c r="F92" s="36"/>
      <c r="G92" s="35"/>
      <c r="H92" s="35"/>
    </row>
    <row r="93" spans="1:9" s="24" customFormat="1" ht="17.25" hidden="1">
      <c r="B93" s="35" t="s">
        <v>539</v>
      </c>
      <c r="C93" s="36" t="s">
        <v>499</v>
      </c>
      <c r="D93" s="36" t="s">
        <v>500</v>
      </c>
      <c r="E93" s="36" t="s">
        <v>501</v>
      </c>
      <c r="F93" s="36"/>
      <c r="G93" s="35"/>
      <c r="H93" s="35"/>
    </row>
    <row r="94" spans="1:9" s="24" customFormat="1" ht="17.25" hidden="1">
      <c r="B94" s="35" t="s">
        <v>539</v>
      </c>
      <c r="C94" s="36" t="s">
        <v>502</v>
      </c>
      <c r="D94" s="36" t="s">
        <v>503</v>
      </c>
      <c r="E94" s="36" t="s">
        <v>504</v>
      </c>
      <c r="F94" s="36"/>
      <c r="G94" s="35"/>
      <c r="H94" s="35"/>
    </row>
    <row r="95" spans="1:9" s="24" customFormat="1" ht="17.25" hidden="1">
      <c r="B95" s="35" t="s">
        <v>539</v>
      </c>
      <c r="C95" s="36" t="s">
        <v>505</v>
      </c>
      <c r="D95" s="36" t="s">
        <v>506</v>
      </c>
      <c r="E95" s="36" t="s">
        <v>507</v>
      </c>
      <c r="F95" s="36"/>
      <c r="G95" s="35"/>
      <c r="H95" s="35"/>
    </row>
    <row r="96" spans="1:9" s="24" customFormat="1" ht="34.5" hidden="1">
      <c r="B96" s="35" t="s">
        <v>539</v>
      </c>
      <c r="C96" s="36" t="s">
        <v>508</v>
      </c>
      <c r="D96" s="36" t="s">
        <v>509</v>
      </c>
      <c r="E96" s="36" t="s">
        <v>510</v>
      </c>
      <c r="F96" s="36"/>
      <c r="G96" s="35"/>
      <c r="H96" s="35"/>
    </row>
  </sheetData>
  <autoFilter ref="A2:J96" xr:uid="{57942659-D9CB-45B1-9A8D-84CB397A0EAA}">
    <filterColumn colId="0">
      <customFilters>
        <customFilter operator="notEqual" val=" "/>
      </customFilters>
    </filterColumn>
  </autoFilter>
  <phoneticPr fontId="3" type="noConversion"/>
  <conditionalFormatting sqref="C1:C1048576">
    <cfRule type="containsText" dxfId="2" priority="1" operator="containsText" text="S">
      <formula>NOT(ISERROR(SEARCH("S",C1)))</formula>
    </cfRule>
    <cfRule type="containsText" dxfId="1" priority="2" operator="containsText" text="G">
      <formula>NOT(ISERROR(SEARCH("G",C1)))</formula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id="{DC55A607-D788-43DD-B6E0-8B9BFF0D89E9}">
            <xm:f>NOT(ISERROR(SEARCH(-G,C1)))</xm:f>
            <xm:f>-G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C1:C1048576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7022E-1906-487A-90E9-2BB33B9DC038}">
  <dimension ref="A1:O17"/>
  <sheetViews>
    <sheetView workbookViewId="0">
      <selection activeCell="N16" sqref="N16"/>
    </sheetView>
  </sheetViews>
  <sheetFormatPr defaultRowHeight="16.5"/>
  <cols>
    <col min="1" max="1" width="7.375" customWidth="1"/>
    <col min="2" max="13" width="6.5" customWidth="1"/>
  </cols>
  <sheetData>
    <row r="1" spans="1:15">
      <c r="A1" s="3" t="s">
        <v>185</v>
      </c>
      <c r="B1" s="3" t="s">
        <v>7</v>
      </c>
      <c r="C1" s="3" t="s">
        <v>9</v>
      </c>
      <c r="D1" s="3" t="s">
        <v>13</v>
      </c>
      <c r="E1" s="3" t="s">
        <v>15</v>
      </c>
      <c r="F1" s="3" t="s">
        <v>16</v>
      </c>
      <c r="G1" s="3" t="s">
        <v>18</v>
      </c>
      <c r="H1" s="3" t="s">
        <v>0</v>
      </c>
      <c r="I1" s="3" t="s">
        <v>1</v>
      </c>
      <c r="J1" s="3" t="s">
        <v>2</v>
      </c>
      <c r="K1" s="3" t="s">
        <v>3</v>
      </c>
      <c r="L1" s="3" t="s">
        <v>186</v>
      </c>
      <c r="M1" s="3" t="s">
        <v>187</v>
      </c>
    </row>
    <row r="2" spans="1:15">
      <c r="A2" s="4" t="s">
        <v>23</v>
      </c>
      <c r="B2" s="4" t="s">
        <v>87</v>
      </c>
      <c r="C2" s="4"/>
      <c r="D2" s="4"/>
      <c r="E2" s="4"/>
      <c r="F2" s="4" t="s">
        <v>87</v>
      </c>
      <c r="G2" s="4"/>
      <c r="H2" s="4" t="s">
        <v>87</v>
      </c>
      <c r="I2" s="4"/>
      <c r="J2" s="4"/>
      <c r="K2" s="4"/>
      <c r="L2" s="4"/>
      <c r="M2" s="4"/>
    </row>
    <row r="3" spans="1:15">
      <c r="A3" s="4" t="s">
        <v>25</v>
      </c>
      <c r="B3" s="4"/>
      <c r="C3" s="4"/>
      <c r="D3" s="4"/>
      <c r="E3" s="4" t="s">
        <v>87</v>
      </c>
      <c r="F3" s="4"/>
      <c r="G3" s="4"/>
      <c r="H3" s="4"/>
      <c r="I3" s="4"/>
      <c r="J3" s="4" t="s">
        <v>87</v>
      </c>
      <c r="K3" s="4"/>
      <c r="L3" s="4"/>
      <c r="M3" s="4"/>
    </row>
    <row r="4" spans="1:15">
      <c r="A4" s="4" t="s">
        <v>26</v>
      </c>
      <c r="B4" s="4"/>
      <c r="C4" s="4"/>
      <c r="D4" s="4"/>
      <c r="E4" s="4"/>
      <c r="F4" s="4"/>
      <c r="G4" s="4"/>
      <c r="H4" s="4"/>
      <c r="I4" s="4"/>
      <c r="J4" s="4"/>
      <c r="K4" s="4"/>
      <c r="L4" s="4" t="s">
        <v>87</v>
      </c>
      <c r="M4" s="4"/>
    </row>
    <row r="5" spans="1:15">
      <c r="A5" s="4" t="s">
        <v>27</v>
      </c>
      <c r="B5" s="52" t="s">
        <v>190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  <c r="O5" s="22" t="s">
        <v>90</v>
      </c>
    </row>
    <row r="6" spans="1:15">
      <c r="A6" s="4" t="s">
        <v>17</v>
      </c>
      <c r="B6" s="4"/>
      <c r="C6" s="4"/>
      <c r="D6" s="4" t="s">
        <v>87</v>
      </c>
      <c r="E6" s="4"/>
      <c r="F6" s="4"/>
      <c r="G6" s="4"/>
      <c r="H6" s="4"/>
      <c r="I6" s="4" t="s">
        <v>87</v>
      </c>
      <c r="J6" s="4"/>
      <c r="K6" s="4"/>
      <c r="L6" s="4"/>
      <c r="M6" s="4"/>
    </row>
    <row r="7" spans="1:15">
      <c r="A7" s="4" t="s">
        <v>29</v>
      </c>
      <c r="B7" s="55" t="s">
        <v>189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4"/>
      <c r="O7" s="23" t="s">
        <v>106</v>
      </c>
    </row>
    <row r="8" spans="1:15">
      <c r="A8" s="4" t="s">
        <v>11</v>
      </c>
      <c r="B8" s="4" t="s">
        <v>87</v>
      </c>
      <c r="C8" s="4" t="s">
        <v>87</v>
      </c>
      <c r="D8" s="4"/>
      <c r="E8" s="4"/>
      <c r="F8" s="4"/>
      <c r="G8" s="4"/>
      <c r="H8" s="4"/>
      <c r="I8" s="4"/>
      <c r="J8" s="4"/>
      <c r="K8" s="4"/>
      <c r="L8" s="4"/>
      <c r="M8" s="4"/>
    </row>
    <row r="9" spans="1:15">
      <c r="A9" s="4" t="s">
        <v>32</v>
      </c>
      <c r="B9" s="4"/>
      <c r="C9" s="4"/>
      <c r="D9" s="4"/>
      <c r="E9" s="4" t="s">
        <v>87</v>
      </c>
      <c r="F9" s="4"/>
      <c r="G9" s="4"/>
      <c r="H9" s="4"/>
      <c r="I9" s="4"/>
      <c r="J9" s="4"/>
      <c r="K9" s="4"/>
      <c r="L9" s="4"/>
      <c r="M9" s="4"/>
    </row>
    <row r="10" spans="1:15">
      <c r="A10" s="4" t="s">
        <v>34</v>
      </c>
      <c r="B10" s="4"/>
      <c r="C10" s="4"/>
      <c r="D10" s="4"/>
      <c r="E10" s="4"/>
      <c r="F10" s="4" t="s">
        <v>87</v>
      </c>
      <c r="G10" s="4"/>
      <c r="H10" s="4"/>
      <c r="I10" s="4"/>
      <c r="J10" s="4"/>
      <c r="K10" s="4"/>
      <c r="L10" s="4"/>
      <c r="M10" s="4"/>
    </row>
    <row r="11" spans="1:15">
      <c r="A11" s="4" t="s">
        <v>35</v>
      </c>
      <c r="B11" s="4"/>
      <c r="C11" s="4"/>
      <c r="D11" s="4"/>
      <c r="E11" s="4"/>
      <c r="F11" s="4"/>
      <c r="G11" s="4"/>
      <c r="H11" s="4" t="s">
        <v>87</v>
      </c>
      <c r="I11" s="4"/>
      <c r="J11" s="4"/>
      <c r="K11" s="4"/>
      <c r="L11" s="4"/>
      <c r="M11" s="4"/>
    </row>
    <row r="12" spans="1:15">
      <c r="A12" s="4" t="s">
        <v>37</v>
      </c>
      <c r="B12" s="4"/>
      <c r="C12" s="4"/>
      <c r="D12" s="4"/>
      <c r="E12" s="4"/>
      <c r="F12" s="4"/>
      <c r="G12" s="4" t="s">
        <v>87</v>
      </c>
      <c r="H12" s="4"/>
      <c r="I12" s="4"/>
      <c r="J12" s="4"/>
      <c r="K12" s="4"/>
      <c r="L12" s="4"/>
      <c r="M12" s="4" t="s">
        <v>87</v>
      </c>
    </row>
    <row r="13" spans="1:15">
      <c r="A13" s="4" t="s">
        <v>39</v>
      </c>
      <c r="B13" s="4"/>
      <c r="C13" s="4"/>
      <c r="D13" s="4"/>
      <c r="E13" s="4"/>
      <c r="F13" s="4"/>
      <c r="G13" s="4" t="s">
        <v>87</v>
      </c>
      <c r="H13" s="4"/>
      <c r="I13" s="4"/>
      <c r="J13" s="4"/>
      <c r="K13" s="4"/>
      <c r="L13" s="4"/>
      <c r="M13" s="4" t="s">
        <v>87</v>
      </c>
    </row>
    <row r="14" spans="1:15">
      <c r="A14" s="4" t="s">
        <v>41</v>
      </c>
      <c r="B14" s="52" t="s">
        <v>190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  <c r="O14" s="22" t="s">
        <v>91</v>
      </c>
    </row>
    <row r="15" spans="1:15">
      <c r="A15" s="4" t="s">
        <v>43</v>
      </c>
      <c r="B15" s="55" t="s">
        <v>188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  <c r="O15" s="23" t="s">
        <v>105</v>
      </c>
    </row>
    <row r="16" spans="1:15">
      <c r="A16" s="4" t="s">
        <v>45</v>
      </c>
      <c r="B16" s="4"/>
      <c r="C16" s="4"/>
      <c r="D16" s="4"/>
      <c r="E16" s="4"/>
      <c r="F16" s="4"/>
      <c r="G16" s="4"/>
      <c r="H16" s="4" t="s">
        <v>87</v>
      </c>
      <c r="I16" s="4"/>
      <c r="J16" s="4"/>
      <c r="K16" s="4"/>
      <c r="L16" s="4"/>
      <c r="M16" s="4"/>
    </row>
    <row r="17" spans="1:13">
      <c r="A17" s="4" t="s">
        <v>21</v>
      </c>
      <c r="B17" s="4"/>
      <c r="C17" s="4"/>
      <c r="D17" s="4"/>
      <c r="E17" s="4"/>
      <c r="F17" s="4"/>
      <c r="G17" s="4"/>
      <c r="H17" s="4"/>
      <c r="I17" s="4"/>
      <c r="J17" s="4"/>
      <c r="K17" s="4" t="s">
        <v>87</v>
      </c>
      <c r="L17" s="4"/>
      <c r="M17" s="4"/>
    </row>
  </sheetData>
  <mergeCells count="4">
    <mergeCell ref="B5:M5"/>
    <mergeCell ref="B7:M7"/>
    <mergeCell ref="B14:M14"/>
    <mergeCell ref="B15:M15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0DB3F-D8A6-4BD0-B1F7-B5D84B7939AB}">
  <dimension ref="A1:C9"/>
  <sheetViews>
    <sheetView workbookViewId="0">
      <selection activeCell="L20" sqref="L20"/>
    </sheetView>
  </sheetViews>
  <sheetFormatPr defaultRowHeight="16.5"/>
  <cols>
    <col min="1" max="1" width="25.75" customWidth="1"/>
    <col min="2" max="2" width="64.125" customWidth="1"/>
    <col min="3" max="3" width="40.875" customWidth="1"/>
    <col min="4" max="4" width="25.75" customWidth="1"/>
  </cols>
  <sheetData>
    <row r="1" spans="1:3" ht="17.25">
      <c r="A1" s="8" t="s">
        <v>108</v>
      </c>
    </row>
    <row r="2" spans="1:3" ht="17.25" thickBot="1"/>
    <row r="3" spans="1:3" ht="17.25" thickBot="1">
      <c r="A3" s="9" t="s">
        <v>109</v>
      </c>
      <c r="B3" s="9" t="s">
        <v>111</v>
      </c>
      <c r="C3" s="9" t="s">
        <v>110</v>
      </c>
    </row>
    <row r="4" spans="1:3" ht="29.25" thickBot="1">
      <c r="A4" s="10" t="s">
        <v>112</v>
      </c>
      <c r="B4" s="12" t="s">
        <v>114</v>
      </c>
      <c r="C4" s="11" t="s">
        <v>113</v>
      </c>
    </row>
    <row r="5" spans="1:3" ht="43.5" thickBot="1">
      <c r="A5" s="10" t="s">
        <v>115</v>
      </c>
      <c r="B5" s="11" t="s">
        <v>117</v>
      </c>
      <c r="C5" s="11" t="s">
        <v>116</v>
      </c>
    </row>
    <row r="6" spans="1:3" ht="43.5" thickBot="1">
      <c r="A6" s="10" t="s">
        <v>118</v>
      </c>
      <c r="B6" s="11" t="s">
        <v>120</v>
      </c>
      <c r="C6" s="11" t="s">
        <v>119</v>
      </c>
    </row>
    <row r="7" spans="1:3" ht="45" thickBot="1">
      <c r="A7" s="10" t="s">
        <v>121</v>
      </c>
      <c r="B7" s="11" t="s">
        <v>123</v>
      </c>
      <c r="C7" s="11" t="s">
        <v>122</v>
      </c>
    </row>
    <row r="8" spans="1:3" ht="45" thickBot="1">
      <c r="A8" s="13" t="s">
        <v>129</v>
      </c>
      <c r="B8" s="14" t="s">
        <v>125</v>
      </c>
      <c r="C8" s="14" t="s">
        <v>124</v>
      </c>
    </row>
    <row r="9" spans="1:3" ht="28.5">
      <c r="A9" s="13" t="s">
        <v>128</v>
      </c>
      <c r="B9" s="14" t="s">
        <v>127</v>
      </c>
      <c r="C9" s="14" t="s">
        <v>126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28460-B628-4EDE-BDBD-E1106E6E8025}">
  <dimension ref="A1:C9"/>
  <sheetViews>
    <sheetView workbookViewId="0">
      <selection activeCell="B15" sqref="B15"/>
    </sheetView>
  </sheetViews>
  <sheetFormatPr defaultColWidth="29.125" defaultRowHeight="16.5"/>
  <cols>
    <col min="2" max="2" width="74.625" customWidth="1"/>
    <col min="3" max="3" width="57.125" customWidth="1"/>
  </cols>
  <sheetData>
    <row r="1" spans="1:3" ht="18" thickBot="1">
      <c r="A1" s="18" t="s">
        <v>146</v>
      </c>
      <c r="B1" s="19" t="s">
        <v>147</v>
      </c>
      <c r="C1" s="15"/>
    </row>
    <row r="2" spans="1:3" ht="18" thickBot="1">
      <c r="A2" s="16" t="s">
        <v>130</v>
      </c>
      <c r="B2" s="16" t="s">
        <v>136</v>
      </c>
      <c r="C2" s="16"/>
    </row>
    <row r="3" spans="1:3" ht="18" thickBot="1">
      <c r="A3" s="16" t="s">
        <v>131</v>
      </c>
      <c r="B3" s="16" t="s">
        <v>145</v>
      </c>
      <c r="C3" s="16"/>
    </row>
    <row r="4" spans="1:3" ht="18" thickBot="1">
      <c r="A4" s="16" t="s">
        <v>138</v>
      </c>
      <c r="B4" s="16" t="s">
        <v>143</v>
      </c>
      <c r="C4" s="16"/>
    </row>
    <row r="5" spans="1:3" ht="18" thickBot="1">
      <c r="A5" s="16" t="s">
        <v>137</v>
      </c>
      <c r="B5" s="16" t="s">
        <v>144</v>
      </c>
      <c r="C5" s="16"/>
    </row>
    <row r="6" spans="1:3" ht="18" thickBot="1">
      <c r="A6" s="16" t="s">
        <v>132</v>
      </c>
      <c r="B6" s="16" t="s">
        <v>140</v>
      </c>
      <c r="C6" s="16"/>
    </row>
    <row r="7" spans="1:3" ht="18" thickBot="1">
      <c r="A7" s="16" t="s">
        <v>133</v>
      </c>
      <c r="B7" s="16" t="s">
        <v>139</v>
      </c>
      <c r="C7" s="16"/>
    </row>
    <row r="8" spans="1:3" ht="18" thickBot="1">
      <c r="A8" s="16" t="s">
        <v>134</v>
      </c>
      <c r="B8" s="16" t="s">
        <v>141</v>
      </c>
      <c r="C8" s="16"/>
    </row>
    <row r="9" spans="1:3" ht="18" thickBot="1">
      <c r="A9" s="16" t="s">
        <v>135</v>
      </c>
      <c r="B9" s="17" t="s">
        <v>142</v>
      </c>
      <c r="C9" s="16"/>
    </row>
  </sheetData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03F8-499C-4609-BBF1-C98C4D7CB1B3}">
  <dimension ref="A1:C7"/>
  <sheetViews>
    <sheetView workbookViewId="0">
      <selection activeCell="C11" sqref="C11"/>
    </sheetView>
  </sheetViews>
  <sheetFormatPr defaultRowHeight="16.5"/>
  <cols>
    <col min="1" max="1" width="11" customWidth="1"/>
    <col min="2" max="2" width="63.125" bestFit="1" customWidth="1"/>
    <col min="3" max="3" width="55.25" customWidth="1"/>
  </cols>
  <sheetData>
    <row r="1" spans="1:3" ht="18" thickBot="1">
      <c r="A1" s="15" t="s">
        <v>161</v>
      </c>
      <c r="B1" s="15" t="s">
        <v>160</v>
      </c>
      <c r="C1" s="15" t="s">
        <v>162</v>
      </c>
    </row>
    <row r="2" spans="1:3" ht="18" thickBot="1">
      <c r="A2" s="20" t="s">
        <v>148</v>
      </c>
      <c r="B2" s="16" t="s">
        <v>149</v>
      </c>
      <c r="C2" s="16" t="s">
        <v>163</v>
      </c>
    </row>
    <row r="3" spans="1:3" ht="18" thickBot="1">
      <c r="A3" s="20" t="s">
        <v>150</v>
      </c>
      <c r="B3" s="16" t="s">
        <v>151</v>
      </c>
      <c r="C3" s="16" t="s">
        <v>164</v>
      </c>
    </row>
    <row r="4" spans="1:3" ht="18" thickBot="1">
      <c r="A4" s="20" t="s">
        <v>152</v>
      </c>
      <c r="B4" s="16" t="s">
        <v>153</v>
      </c>
      <c r="C4" s="16" t="s">
        <v>165</v>
      </c>
    </row>
    <row r="5" spans="1:3" ht="18" thickBot="1">
      <c r="A5" s="20" t="s">
        <v>154</v>
      </c>
      <c r="B5" s="16" t="s">
        <v>155</v>
      </c>
      <c r="C5" s="16" t="s">
        <v>166</v>
      </c>
    </row>
    <row r="6" spans="1:3" ht="18" thickBot="1">
      <c r="A6" s="20" t="s">
        <v>156</v>
      </c>
      <c r="B6" s="16" t="s">
        <v>157</v>
      </c>
      <c r="C6" s="16" t="s">
        <v>167</v>
      </c>
    </row>
    <row r="7" spans="1:3" ht="18" thickBot="1">
      <c r="A7" s="20" t="s">
        <v>158</v>
      </c>
      <c r="B7" s="16" t="s">
        <v>159</v>
      </c>
      <c r="C7" s="16" t="s">
        <v>168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침해 사고</vt:lpstr>
      <vt:lpstr>StakeHolder</vt:lpstr>
      <vt:lpstr>VOS</vt:lpstr>
      <vt:lpstr>UC (정제)</vt:lpstr>
      <vt:lpstr>FR</vt:lpstr>
      <vt:lpstr>CONST</vt:lpstr>
      <vt:lpstr>QA</vt:lpstr>
      <vt:lpstr>Sheet1</vt:lpstr>
      <vt:lpstr>ISO 25010</vt:lpstr>
      <vt:lpstr>ISO 25023</vt:lpstr>
      <vt:lpstr>Matrix</vt:lpstr>
      <vt:lpstr>pKVM interfacer</vt:lpstr>
      <vt:lpstr>ContextView</vt:lpstr>
      <vt:lpstr>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Boram Park</dc:creator>
  <cp:lastModifiedBy>Boram Park</cp:lastModifiedBy>
  <dcterms:created xsi:type="dcterms:W3CDTF">2026-07-03T09:00:02Z</dcterms:created>
  <dcterms:modified xsi:type="dcterms:W3CDTF">2026-08-24T08:05:58Z</dcterms:modified>
</cp:coreProperties>
</file>